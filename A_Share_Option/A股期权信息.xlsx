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yond\Desktop\"/>
    </mc:Choice>
  </mc:AlternateContent>
  <xr:revisionPtr revIDLastSave="0" documentId="13_ncr:1_{8B3CA27B-3E9F-409A-8032-3A234B2D90C4}" xr6:coauthVersionLast="47" xr6:coauthVersionMax="47" xr10:uidLastSave="{00000000-0000-0000-0000-000000000000}"/>
  <bookViews>
    <workbookView xWindow="-110" yWindow="-110" windowWidth="25820" windowHeight="15500" xr2:uid="{ACC6B57E-0F80-4594-BCD4-9F92592ECC68}"/>
  </bookViews>
  <sheets>
    <sheet name="创业板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2" l="1"/>
  <c r="C3" i="2"/>
  <c r="E3" i="2"/>
  <c r="D3" i="2" s="1"/>
  <c r="F3" i="2"/>
  <c r="G3" i="2"/>
  <c r="H3" i="2"/>
  <c r="I3" i="2"/>
  <c r="J3" i="2"/>
  <c r="K3" i="2"/>
  <c r="L3" i="2"/>
  <c r="M3" i="2"/>
  <c r="C4" i="2"/>
  <c r="E4" i="2"/>
  <c r="F4" i="2"/>
  <c r="G4" i="2"/>
  <c r="H4" i="2"/>
  <c r="I4" i="2"/>
  <c r="J4" i="2"/>
  <c r="K4" i="2"/>
  <c r="L4" i="2"/>
  <c r="M4" i="2"/>
  <c r="C5" i="2"/>
  <c r="E5" i="2"/>
  <c r="F5" i="2"/>
  <c r="G5" i="2"/>
  <c r="H5" i="2"/>
  <c r="I5" i="2"/>
  <c r="J5" i="2"/>
  <c r="K5" i="2"/>
  <c r="L5" i="2"/>
  <c r="M5" i="2"/>
  <c r="C6" i="2"/>
  <c r="E6" i="2"/>
  <c r="F6" i="2"/>
  <c r="G6" i="2"/>
  <c r="H6" i="2"/>
  <c r="I6" i="2"/>
  <c r="J6" i="2"/>
  <c r="K6" i="2"/>
  <c r="L6" i="2"/>
  <c r="M6" i="2"/>
  <c r="C7" i="2"/>
  <c r="E7" i="2"/>
  <c r="F7" i="2"/>
  <c r="G7" i="2"/>
  <c r="H7" i="2"/>
  <c r="I7" i="2"/>
  <c r="J7" i="2"/>
  <c r="K7" i="2"/>
  <c r="L7" i="2"/>
  <c r="M7" i="2"/>
  <c r="C8" i="2"/>
  <c r="E8" i="2"/>
  <c r="F8" i="2"/>
  <c r="G8" i="2"/>
  <c r="H8" i="2"/>
  <c r="I8" i="2"/>
  <c r="J8" i="2"/>
  <c r="K8" i="2"/>
  <c r="L8" i="2"/>
  <c r="M8" i="2"/>
  <c r="C9" i="2"/>
  <c r="E9" i="2"/>
  <c r="F9" i="2"/>
  <c r="G9" i="2"/>
  <c r="H9" i="2"/>
  <c r="I9" i="2"/>
  <c r="J9" i="2"/>
  <c r="K9" i="2"/>
  <c r="L9" i="2"/>
  <c r="M9" i="2"/>
  <c r="C10" i="2"/>
  <c r="E10" i="2"/>
  <c r="F10" i="2"/>
  <c r="G10" i="2"/>
  <c r="H10" i="2"/>
  <c r="I10" i="2"/>
  <c r="J10" i="2"/>
  <c r="K10" i="2"/>
  <c r="L10" i="2"/>
  <c r="M10" i="2"/>
  <c r="C11" i="2"/>
  <c r="E11" i="2"/>
  <c r="F11" i="2"/>
  <c r="G11" i="2"/>
  <c r="H11" i="2"/>
  <c r="I11" i="2"/>
  <c r="J11" i="2"/>
  <c r="K11" i="2"/>
  <c r="L11" i="2"/>
  <c r="M11" i="2"/>
  <c r="C12" i="2"/>
  <c r="E12" i="2"/>
  <c r="F12" i="2"/>
  <c r="G12" i="2"/>
  <c r="H12" i="2"/>
  <c r="I12" i="2"/>
  <c r="J12" i="2"/>
  <c r="K12" i="2"/>
  <c r="L12" i="2"/>
  <c r="M12" i="2"/>
  <c r="C13" i="2"/>
  <c r="E13" i="2"/>
  <c r="F13" i="2"/>
  <c r="G13" i="2"/>
  <c r="H13" i="2"/>
  <c r="I13" i="2"/>
  <c r="J13" i="2"/>
  <c r="K13" i="2"/>
  <c r="L13" i="2"/>
  <c r="M13" i="2"/>
  <c r="C14" i="2"/>
  <c r="E14" i="2"/>
  <c r="F14" i="2"/>
  <c r="G14" i="2"/>
  <c r="H14" i="2"/>
  <c r="I14" i="2"/>
  <c r="J14" i="2"/>
  <c r="K14" i="2"/>
  <c r="L14" i="2"/>
  <c r="M14" i="2"/>
  <c r="C15" i="2"/>
  <c r="E15" i="2"/>
  <c r="F15" i="2"/>
  <c r="G15" i="2"/>
  <c r="H15" i="2"/>
  <c r="I15" i="2"/>
  <c r="J15" i="2"/>
  <c r="K15" i="2"/>
  <c r="L15" i="2"/>
  <c r="M15" i="2"/>
  <c r="C16" i="2"/>
  <c r="E16" i="2"/>
  <c r="F16" i="2"/>
  <c r="G16" i="2"/>
  <c r="H16" i="2"/>
  <c r="I16" i="2"/>
  <c r="J16" i="2"/>
  <c r="K16" i="2"/>
  <c r="L16" i="2"/>
  <c r="M16" i="2"/>
  <c r="C17" i="2"/>
  <c r="E17" i="2"/>
  <c r="F17" i="2"/>
  <c r="G17" i="2"/>
  <c r="H17" i="2"/>
  <c r="I17" i="2"/>
  <c r="J17" i="2"/>
  <c r="K17" i="2"/>
  <c r="L17" i="2"/>
  <c r="M17" i="2"/>
  <c r="C18" i="2"/>
  <c r="E18" i="2"/>
  <c r="F18" i="2"/>
  <c r="G18" i="2"/>
  <c r="H18" i="2"/>
  <c r="I18" i="2"/>
  <c r="J18" i="2"/>
  <c r="K18" i="2"/>
  <c r="L18" i="2"/>
  <c r="M18" i="2"/>
  <c r="C19" i="2"/>
  <c r="E19" i="2"/>
  <c r="F19" i="2"/>
  <c r="G19" i="2"/>
  <c r="H19" i="2"/>
  <c r="I19" i="2"/>
  <c r="J19" i="2"/>
  <c r="K19" i="2"/>
  <c r="L19" i="2"/>
  <c r="M19" i="2"/>
  <c r="C20" i="2"/>
  <c r="E20" i="2"/>
  <c r="F20" i="2"/>
  <c r="G20" i="2"/>
  <c r="H20" i="2"/>
  <c r="I20" i="2"/>
  <c r="J20" i="2"/>
  <c r="K20" i="2"/>
  <c r="L20" i="2"/>
  <c r="M20" i="2"/>
  <c r="C21" i="2"/>
  <c r="E21" i="2"/>
  <c r="F21" i="2"/>
  <c r="G21" i="2"/>
  <c r="H21" i="2"/>
  <c r="I21" i="2"/>
  <c r="J21" i="2"/>
  <c r="K21" i="2"/>
  <c r="L21" i="2"/>
  <c r="M21" i="2"/>
  <c r="C22" i="2"/>
  <c r="E22" i="2"/>
  <c r="F22" i="2"/>
  <c r="G22" i="2"/>
  <c r="H22" i="2"/>
  <c r="I22" i="2"/>
  <c r="J22" i="2"/>
  <c r="K22" i="2"/>
  <c r="L22" i="2"/>
  <c r="M22" i="2"/>
  <c r="C23" i="2"/>
  <c r="E23" i="2"/>
  <c r="F23" i="2"/>
  <c r="G23" i="2"/>
  <c r="H23" i="2"/>
  <c r="I23" i="2"/>
  <c r="J23" i="2"/>
  <c r="K23" i="2"/>
  <c r="L23" i="2"/>
  <c r="M23" i="2"/>
  <c r="C24" i="2"/>
  <c r="E24" i="2"/>
  <c r="F24" i="2"/>
  <c r="G24" i="2"/>
  <c r="H24" i="2"/>
  <c r="I24" i="2"/>
  <c r="J24" i="2"/>
  <c r="K24" i="2"/>
  <c r="L24" i="2"/>
  <c r="M24" i="2"/>
  <c r="C25" i="2"/>
  <c r="E25" i="2"/>
  <c r="F25" i="2"/>
  <c r="G25" i="2"/>
  <c r="H25" i="2"/>
  <c r="I25" i="2"/>
  <c r="J25" i="2"/>
  <c r="K25" i="2"/>
  <c r="L25" i="2"/>
  <c r="M25" i="2"/>
  <c r="C26" i="2"/>
  <c r="E26" i="2"/>
  <c r="F26" i="2"/>
  <c r="G26" i="2"/>
  <c r="H26" i="2"/>
  <c r="I26" i="2"/>
  <c r="J26" i="2"/>
  <c r="K26" i="2"/>
  <c r="L26" i="2"/>
  <c r="M26" i="2"/>
  <c r="C27" i="2"/>
  <c r="E27" i="2"/>
  <c r="F27" i="2"/>
  <c r="G27" i="2"/>
  <c r="H27" i="2"/>
  <c r="I27" i="2"/>
  <c r="J27" i="2"/>
  <c r="K27" i="2"/>
  <c r="L27" i="2"/>
  <c r="M27" i="2"/>
  <c r="C28" i="2"/>
  <c r="E28" i="2"/>
  <c r="F28" i="2"/>
  <c r="G28" i="2"/>
  <c r="H28" i="2"/>
  <c r="I28" i="2"/>
  <c r="J28" i="2"/>
  <c r="K28" i="2"/>
  <c r="L28" i="2"/>
  <c r="M28" i="2"/>
  <c r="C29" i="2"/>
  <c r="E29" i="2"/>
  <c r="F29" i="2"/>
  <c r="G29" i="2"/>
  <c r="H29" i="2"/>
  <c r="I29" i="2"/>
  <c r="J29" i="2"/>
  <c r="K29" i="2"/>
  <c r="L29" i="2"/>
  <c r="M29" i="2"/>
  <c r="C30" i="2"/>
  <c r="E30" i="2"/>
  <c r="F30" i="2"/>
  <c r="G30" i="2"/>
  <c r="H30" i="2"/>
  <c r="I30" i="2"/>
  <c r="J30" i="2"/>
  <c r="K30" i="2"/>
  <c r="L30" i="2"/>
  <c r="M30" i="2"/>
  <c r="C31" i="2"/>
  <c r="E31" i="2"/>
  <c r="F31" i="2"/>
  <c r="G31" i="2"/>
  <c r="H31" i="2"/>
  <c r="I31" i="2"/>
  <c r="J31" i="2"/>
  <c r="K31" i="2"/>
  <c r="L31" i="2"/>
  <c r="M31" i="2"/>
  <c r="C32" i="2"/>
  <c r="E32" i="2"/>
  <c r="F32" i="2"/>
  <c r="G32" i="2"/>
  <c r="H32" i="2"/>
  <c r="I32" i="2"/>
  <c r="J32" i="2"/>
  <c r="K32" i="2"/>
  <c r="L32" i="2"/>
  <c r="M32" i="2"/>
  <c r="C33" i="2"/>
  <c r="E33" i="2"/>
  <c r="F33" i="2"/>
  <c r="G33" i="2"/>
  <c r="H33" i="2"/>
  <c r="I33" i="2"/>
  <c r="J33" i="2"/>
  <c r="K33" i="2"/>
  <c r="L33" i="2"/>
  <c r="M33" i="2"/>
  <c r="C34" i="2"/>
  <c r="E34" i="2"/>
  <c r="F34" i="2"/>
  <c r="G34" i="2"/>
  <c r="H34" i="2"/>
  <c r="I34" i="2"/>
  <c r="J34" i="2"/>
  <c r="K34" i="2"/>
  <c r="L34" i="2"/>
  <c r="M34" i="2"/>
  <c r="C35" i="2"/>
  <c r="E35" i="2"/>
  <c r="F35" i="2"/>
  <c r="G35" i="2"/>
  <c r="H35" i="2"/>
  <c r="I35" i="2"/>
  <c r="J35" i="2"/>
  <c r="K35" i="2"/>
  <c r="L35" i="2"/>
  <c r="M35" i="2"/>
  <c r="C36" i="2"/>
  <c r="E36" i="2"/>
  <c r="F36" i="2"/>
  <c r="G36" i="2"/>
  <c r="H36" i="2"/>
  <c r="I36" i="2"/>
  <c r="J36" i="2"/>
  <c r="K36" i="2"/>
  <c r="L36" i="2"/>
  <c r="M36" i="2"/>
  <c r="C37" i="2"/>
  <c r="E37" i="2"/>
  <c r="F37" i="2"/>
  <c r="G37" i="2"/>
  <c r="H37" i="2"/>
  <c r="I37" i="2"/>
  <c r="J37" i="2"/>
  <c r="K37" i="2"/>
  <c r="L37" i="2"/>
  <c r="M37" i="2"/>
  <c r="C38" i="2"/>
  <c r="E38" i="2"/>
  <c r="F38" i="2"/>
  <c r="G38" i="2"/>
  <c r="H38" i="2"/>
  <c r="I38" i="2"/>
  <c r="J38" i="2"/>
  <c r="K38" i="2"/>
  <c r="L38" i="2"/>
  <c r="M38" i="2"/>
  <c r="C39" i="2"/>
  <c r="E39" i="2"/>
  <c r="F39" i="2"/>
  <c r="G39" i="2"/>
  <c r="H39" i="2"/>
  <c r="I39" i="2"/>
  <c r="J39" i="2"/>
  <c r="K39" i="2"/>
  <c r="L39" i="2"/>
  <c r="M39" i="2"/>
  <c r="C40" i="2"/>
  <c r="E40" i="2"/>
  <c r="F40" i="2"/>
  <c r="G40" i="2"/>
  <c r="H40" i="2"/>
  <c r="I40" i="2"/>
  <c r="J40" i="2"/>
  <c r="K40" i="2"/>
  <c r="L40" i="2"/>
  <c r="M40" i="2"/>
  <c r="C41" i="2"/>
  <c r="E41" i="2"/>
  <c r="F41" i="2"/>
  <c r="G41" i="2"/>
  <c r="H41" i="2"/>
  <c r="I41" i="2"/>
  <c r="J41" i="2"/>
  <c r="K41" i="2"/>
  <c r="L41" i="2"/>
  <c r="M41" i="2"/>
  <c r="C42" i="2"/>
  <c r="E42" i="2"/>
  <c r="F42" i="2"/>
  <c r="G42" i="2"/>
  <c r="H42" i="2"/>
  <c r="I42" i="2"/>
  <c r="J42" i="2"/>
  <c r="K42" i="2"/>
  <c r="L42" i="2"/>
  <c r="M42" i="2"/>
  <c r="C43" i="2"/>
  <c r="E43" i="2"/>
  <c r="F43" i="2"/>
  <c r="G43" i="2"/>
  <c r="H43" i="2"/>
  <c r="I43" i="2"/>
  <c r="J43" i="2"/>
  <c r="K43" i="2"/>
  <c r="L43" i="2"/>
  <c r="M43" i="2"/>
  <c r="C44" i="2"/>
  <c r="E44" i="2"/>
  <c r="F44" i="2"/>
  <c r="G44" i="2"/>
  <c r="H44" i="2"/>
  <c r="I44" i="2"/>
  <c r="J44" i="2"/>
  <c r="K44" i="2"/>
  <c r="L44" i="2"/>
  <c r="M44" i="2"/>
  <c r="C45" i="2"/>
  <c r="E45" i="2"/>
  <c r="F45" i="2"/>
  <c r="G45" i="2"/>
  <c r="H45" i="2"/>
  <c r="I45" i="2"/>
  <c r="J45" i="2"/>
  <c r="K45" i="2"/>
  <c r="L45" i="2"/>
  <c r="M45" i="2"/>
  <c r="C46" i="2"/>
  <c r="E46" i="2"/>
  <c r="F46" i="2"/>
  <c r="G46" i="2"/>
  <c r="H46" i="2"/>
  <c r="I46" i="2"/>
  <c r="J46" i="2"/>
  <c r="K46" i="2"/>
  <c r="L46" i="2"/>
  <c r="M46" i="2"/>
  <c r="C47" i="2"/>
  <c r="E47" i="2"/>
  <c r="F47" i="2"/>
  <c r="G47" i="2"/>
  <c r="H47" i="2"/>
  <c r="I47" i="2"/>
  <c r="J47" i="2"/>
  <c r="K47" i="2"/>
  <c r="L47" i="2"/>
  <c r="M47" i="2"/>
  <c r="C48" i="2"/>
  <c r="E48" i="2"/>
  <c r="F48" i="2"/>
  <c r="G48" i="2"/>
  <c r="H48" i="2"/>
  <c r="I48" i="2"/>
  <c r="J48" i="2"/>
  <c r="K48" i="2"/>
  <c r="L48" i="2"/>
  <c r="M48" i="2"/>
  <c r="C49" i="2"/>
  <c r="E49" i="2"/>
  <c r="F49" i="2"/>
  <c r="G49" i="2"/>
  <c r="H49" i="2"/>
  <c r="I49" i="2"/>
  <c r="J49" i="2"/>
  <c r="K49" i="2"/>
  <c r="L49" i="2"/>
  <c r="M49" i="2"/>
  <c r="C50" i="2"/>
  <c r="E50" i="2"/>
  <c r="F50" i="2"/>
  <c r="G50" i="2"/>
  <c r="H50" i="2"/>
  <c r="I50" i="2"/>
  <c r="J50" i="2"/>
  <c r="K50" i="2"/>
  <c r="L50" i="2"/>
  <c r="M50" i="2"/>
  <c r="C51" i="2"/>
  <c r="E51" i="2"/>
  <c r="F51" i="2"/>
  <c r="G51" i="2"/>
  <c r="H51" i="2"/>
  <c r="I51" i="2"/>
  <c r="J51" i="2"/>
  <c r="K51" i="2"/>
  <c r="L51" i="2"/>
  <c r="M51" i="2"/>
  <c r="C52" i="2"/>
  <c r="E52" i="2"/>
  <c r="F52" i="2"/>
  <c r="G52" i="2"/>
  <c r="H52" i="2"/>
  <c r="I52" i="2"/>
  <c r="J52" i="2"/>
  <c r="K52" i="2"/>
  <c r="L52" i="2"/>
  <c r="M52" i="2"/>
  <c r="C53" i="2"/>
  <c r="E53" i="2"/>
  <c r="F53" i="2"/>
  <c r="G53" i="2"/>
  <c r="H53" i="2"/>
  <c r="I53" i="2"/>
  <c r="J53" i="2"/>
  <c r="K53" i="2"/>
  <c r="L53" i="2"/>
  <c r="M53" i="2"/>
  <c r="C54" i="2"/>
  <c r="E54" i="2"/>
  <c r="F54" i="2"/>
  <c r="G54" i="2"/>
  <c r="H54" i="2"/>
  <c r="I54" i="2"/>
  <c r="J54" i="2"/>
  <c r="K54" i="2"/>
  <c r="L54" i="2"/>
  <c r="M54" i="2"/>
  <c r="C55" i="2"/>
  <c r="E55" i="2"/>
  <c r="F55" i="2"/>
  <c r="G55" i="2"/>
  <c r="H55" i="2"/>
  <c r="I55" i="2"/>
  <c r="J55" i="2"/>
  <c r="K55" i="2"/>
  <c r="L55" i="2"/>
  <c r="M55" i="2"/>
  <c r="C56" i="2"/>
  <c r="E56" i="2"/>
  <c r="F56" i="2"/>
  <c r="G56" i="2"/>
  <c r="H56" i="2"/>
  <c r="I56" i="2"/>
  <c r="J56" i="2"/>
  <c r="K56" i="2"/>
  <c r="L56" i="2"/>
  <c r="M56" i="2"/>
  <c r="C57" i="2"/>
  <c r="E57" i="2"/>
  <c r="F57" i="2"/>
  <c r="G57" i="2"/>
  <c r="H57" i="2"/>
  <c r="I57" i="2"/>
  <c r="J57" i="2"/>
  <c r="K57" i="2"/>
  <c r="L57" i="2"/>
  <c r="M57" i="2"/>
  <c r="C58" i="2"/>
  <c r="E58" i="2"/>
  <c r="F58" i="2"/>
  <c r="G58" i="2"/>
  <c r="H58" i="2"/>
  <c r="I58" i="2"/>
  <c r="J58" i="2"/>
  <c r="K58" i="2"/>
  <c r="L58" i="2"/>
  <c r="M58" i="2"/>
  <c r="C59" i="2"/>
  <c r="E59" i="2"/>
  <c r="F59" i="2"/>
  <c r="G59" i="2"/>
  <c r="H59" i="2"/>
  <c r="I59" i="2"/>
  <c r="J59" i="2"/>
  <c r="K59" i="2"/>
  <c r="L59" i="2"/>
  <c r="M59" i="2"/>
  <c r="C60" i="2"/>
  <c r="E60" i="2"/>
  <c r="F60" i="2"/>
  <c r="G60" i="2"/>
  <c r="H60" i="2"/>
  <c r="I60" i="2"/>
  <c r="J60" i="2"/>
  <c r="K60" i="2"/>
  <c r="L60" i="2"/>
  <c r="M60" i="2"/>
  <c r="C61" i="2"/>
  <c r="E61" i="2"/>
  <c r="F61" i="2"/>
  <c r="G61" i="2"/>
  <c r="H61" i="2"/>
  <c r="I61" i="2"/>
  <c r="J61" i="2"/>
  <c r="K61" i="2"/>
  <c r="L61" i="2"/>
  <c r="M61" i="2"/>
  <c r="C62" i="2"/>
  <c r="E62" i="2"/>
  <c r="F62" i="2"/>
  <c r="G62" i="2"/>
  <c r="H62" i="2"/>
  <c r="I62" i="2"/>
  <c r="J62" i="2"/>
  <c r="K62" i="2"/>
  <c r="L62" i="2"/>
  <c r="M62" i="2"/>
  <c r="C63" i="2"/>
  <c r="E63" i="2"/>
  <c r="F63" i="2"/>
  <c r="G63" i="2"/>
  <c r="H63" i="2"/>
  <c r="I63" i="2"/>
  <c r="J63" i="2"/>
  <c r="K63" i="2"/>
  <c r="L63" i="2"/>
  <c r="M63" i="2"/>
  <c r="C64" i="2"/>
  <c r="E64" i="2"/>
  <c r="F64" i="2"/>
  <c r="G64" i="2"/>
  <c r="H64" i="2"/>
  <c r="I64" i="2"/>
  <c r="J64" i="2"/>
  <c r="K64" i="2"/>
  <c r="L64" i="2"/>
  <c r="M64" i="2"/>
  <c r="C65" i="2"/>
  <c r="E65" i="2"/>
  <c r="F65" i="2"/>
  <c r="G65" i="2"/>
  <c r="H65" i="2"/>
  <c r="I65" i="2"/>
  <c r="J65" i="2"/>
  <c r="K65" i="2"/>
  <c r="L65" i="2"/>
  <c r="M65" i="2"/>
  <c r="C66" i="2"/>
  <c r="E66" i="2"/>
  <c r="F66" i="2"/>
  <c r="G66" i="2"/>
  <c r="H66" i="2"/>
  <c r="I66" i="2"/>
  <c r="J66" i="2"/>
  <c r="K66" i="2"/>
  <c r="L66" i="2"/>
  <c r="M66" i="2"/>
  <c r="C67" i="2"/>
  <c r="E67" i="2"/>
  <c r="F67" i="2"/>
  <c r="G67" i="2"/>
  <c r="H67" i="2"/>
  <c r="I67" i="2"/>
  <c r="J67" i="2"/>
  <c r="K67" i="2"/>
  <c r="L67" i="2"/>
  <c r="M67" i="2"/>
  <c r="C68" i="2"/>
  <c r="E68" i="2"/>
  <c r="F68" i="2"/>
  <c r="G68" i="2"/>
  <c r="H68" i="2"/>
  <c r="I68" i="2"/>
  <c r="J68" i="2"/>
  <c r="K68" i="2"/>
  <c r="L68" i="2"/>
  <c r="M68" i="2"/>
  <c r="C69" i="2"/>
  <c r="E69" i="2"/>
  <c r="F69" i="2"/>
  <c r="G69" i="2"/>
  <c r="H69" i="2"/>
  <c r="I69" i="2"/>
  <c r="J69" i="2"/>
  <c r="K69" i="2"/>
  <c r="L69" i="2"/>
  <c r="M69" i="2"/>
  <c r="C70" i="2"/>
  <c r="E70" i="2"/>
  <c r="F70" i="2"/>
  <c r="G70" i="2"/>
  <c r="H70" i="2"/>
  <c r="I70" i="2"/>
  <c r="J70" i="2"/>
  <c r="K70" i="2"/>
  <c r="L70" i="2"/>
  <c r="M70" i="2"/>
  <c r="C71" i="2"/>
  <c r="E71" i="2"/>
  <c r="F71" i="2"/>
  <c r="G71" i="2"/>
  <c r="H71" i="2"/>
  <c r="I71" i="2"/>
  <c r="J71" i="2"/>
  <c r="K71" i="2"/>
  <c r="L71" i="2"/>
  <c r="M71" i="2"/>
  <c r="C72" i="2"/>
  <c r="E72" i="2"/>
  <c r="F72" i="2"/>
  <c r="G72" i="2"/>
  <c r="H72" i="2"/>
  <c r="I72" i="2"/>
  <c r="J72" i="2"/>
  <c r="K72" i="2"/>
  <c r="L72" i="2"/>
  <c r="M72" i="2"/>
  <c r="C73" i="2"/>
  <c r="E73" i="2"/>
  <c r="F73" i="2"/>
  <c r="G73" i="2"/>
  <c r="H73" i="2"/>
  <c r="I73" i="2"/>
  <c r="J73" i="2"/>
  <c r="K73" i="2"/>
  <c r="L73" i="2"/>
  <c r="M73" i="2"/>
  <c r="C74" i="2"/>
  <c r="E74" i="2"/>
  <c r="F74" i="2"/>
  <c r="G74" i="2"/>
  <c r="H74" i="2"/>
  <c r="I74" i="2"/>
  <c r="J74" i="2"/>
  <c r="K74" i="2"/>
  <c r="L74" i="2"/>
  <c r="M74" i="2"/>
  <c r="C75" i="2"/>
  <c r="E75" i="2"/>
  <c r="F75" i="2"/>
  <c r="G75" i="2"/>
  <c r="H75" i="2"/>
  <c r="I75" i="2"/>
  <c r="J75" i="2"/>
  <c r="K75" i="2"/>
  <c r="L75" i="2"/>
  <c r="M75" i="2"/>
  <c r="C76" i="2"/>
  <c r="E76" i="2"/>
  <c r="F76" i="2"/>
  <c r="G76" i="2"/>
  <c r="H76" i="2"/>
  <c r="I76" i="2"/>
  <c r="J76" i="2"/>
  <c r="K76" i="2"/>
  <c r="L76" i="2"/>
  <c r="M76" i="2"/>
  <c r="C77" i="2"/>
  <c r="E77" i="2"/>
  <c r="F77" i="2"/>
  <c r="G77" i="2"/>
  <c r="H77" i="2"/>
  <c r="I77" i="2"/>
  <c r="J77" i="2"/>
  <c r="K77" i="2"/>
  <c r="L77" i="2"/>
  <c r="M77" i="2"/>
  <c r="C78" i="2"/>
  <c r="E78" i="2"/>
  <c r="F78" i="2"/>
  <c r="G78" i="2"/>
  <c r="H78" i="2"/>
  <c r="I78" i="2"/>
  <c r="J78" i="2"/>
  <c r="K78" i="2"/>
  <c r="L78" i="2"/>
  <c r="M78" i="2"/>
  <c r="C79" i="2"/>
  <c r="E79" i="2"/>
  <c r="F79" i="2"/>
  <c r="G79" i="2"/>
  <c r="H79" i="2"/>
  <c r="I79" i="2"/>
  <c r="J79" i="2"/>
  <c r="K79" i="2"/>
  <c r="L79" i="2"/>
  <c r="M79" i="2"/>
  <c r="C80" i="2"/>
  <c r="E80" i="2"/>
  <c r="F80" i="2"/>
  <c r="G80" i="2"/>
  <c r="H80" i="2"/>
  <c r="I80" i="2"/>
  <c r="J80" i="2"/>
  <c r="K80" i="2"/>
  <c r="L80" i="2"/>
  <c r="M80" i="2"/>
  <c r="C81" i="2"/>
  <c r="E81" i="2"/>
  <c r="F81" i="2"/>
  <c r="G81" i="2"/>
  <c r="H81" i="2"/>
  <c r="I81" i="2"/>
  <c r="J81" i="2"/>
  <c r="K81" i="2"/>
  <c r="L81" i="2"/>
  <c r="M81" i="2"/>
  <c r="C82" i="2"/>
  <c r="E82" i="2"/>
  <c r="F82" i="2"/>
  <c r="G82" i="2"/>
  <c r="H82" i="2"/>
  <c r="I82" i="2"/>
  <c r="J82" i="2"/>
  <c r="K82" i="2"/>
  <c r="L82" i="2"/>
  <c r="M82" i="2"/>
  <c r="C83" i="2"/>
  <c r="E83" i="2"/>
  <c r="F83" i="2"/>
  <c r="G83" i="2"/>
  <c r="H83" i="2"/>
  <c r="I83" i="2"/>
  <c r="J83" i="2"/>
  <c r="K83" i="2"/>
  <c r="L83" i="2"/>
  <c r="M83" i="2"/>
  <c r="C84" i="2"/>
  <c r="E84" i="2"/>
  <c r="F84" i="2"/>
  <c r="D84" i="2" s="1"/>
  <c r="G84" i="2"/>
  <c r="H84" i="2"/>
  <c r="I84" i="2"/>
  <c r="J84" i="2"/>
  <c r="K84" i="2"/>
  <c r="L84" i="2"/>
  <c r="M84" i="2"/>
  <c r="C85" i="2"/>
  <c r="E85" i="2"/>
  <c r="F85" i="2"/>
  <c r="G85" i="2"/>
  <c r="H85" i="2"/>
  <c r="I85" i="2"/>
  <c r="J85" i="2"/>
  <c r="K85" i="2"/>
  <c r="L85" i="2"/>
  <c r="M85" i="2"/>
  <c r="C86" i="2"/>
  <c r="E86" i="2"/>
  <c r="F86" i="2"/>
  <c r="G86" i="2"/>
  <c r="H86" i="2"/>
  <c r="I86" i="2"/>
  <c r="J86" i="2"/>
  <c r="K86" i="2"/>
  <c r="L86" i="2"/>
  <c r="M86" i="2"/>
  <c r="C87" i="2"/>
  <c r="E87" i="2"/>
  <c r="F87" i="2"/>
  <c r="G87" i="2"/>
  <c r="H87" i="2"/>
  <c r="I87" i="2"/>
  <c r="J87" i="2"/>
  <c r="K87" i="2"/>
  <c r="L87" i="2"/>
  <c r="M87" i="2"/>
  <c r="C88" i="2"/>
  <c r="E88" i="2"/>
  <c r="F88" i="2"/>
  <c r="G88" i="2"/>
  <c r="H88" i="2"/>
  <c r="I88" i="2"/>
  <c r="J88" i="2"/>
  <c r="K88" i="2"/>
  <c r="L88" i="2"/>
  <c r="M88" i="2"/>
  <c r="C89" i="2"/>
  <c r="E89" i="2"/>
  <c r="F89" i="2"/>
  <c r="G89" i="2"/>
  <c r="H89" i="2"/>
  <c r="I89" i="2"/>
  <c r="J89" i="2"/>
  <c r="K89" i="2"/>
  <c r="L89" i="2"/>
  <c r="M89" i="2"/>
  <c r="C90" i="2"/>
  <c r="E90" i="2"/>
  <c r="F90" i="2"/>
  <c r="G90" i="2"/>
  <c r="H90" i="2"/>
  <c r="I90" i="2"/>
  <c r="J90" i="2"/>
  <c r="K90" i="2"/>
  <c r="L90" i="2"/>
  <c r="M90" i="2"/>
  <c r="C91" i="2"/>
  <c r="E91" i="2"/>
  <c r="F91" i="2"/>
  <c r="G91" i="2"/>
  <c r="H91" i="2"/>
  <c r="I91" i="2"/>
  <c r="J91" i="2"/>
  <c r="K91" i="2"/>
  <c r="L91" i="2"/>
  <c r="M91" i="2"/>
  <c r="C92" i="2"/>
  <c r="E92" i="2"/>
  <c r="F92" i="2"/>
  <c r="G92" i="2"/>
  <c r="H92" i="2"/>
  <c r="I92" i="2"/>
  <c r="J92" i="2"/>
  <c r="K92" i="2"/>
  <c r="L92" i="2"/>
  <c r="M92" i="2"/>
  <c r="C93" i="2"/>
  <c r="E93" i="2"/>
  <c r="F93" i="2"/>
  <c r="G93" i="2"/>
  <c r="H93" i="2"/>
  <c r="I93" i="2"/>
  <c r="J93" i="2"/>
  <c r="K93" i="2"/>
  <c r="L93" i="2"/>
  <c r="M93" i="2"/>
  <c r="C94" i="2"/>
  <c r="E94" i="2"/>
  <c r="F94" i="2"/>
  <c r="G94" i="2"/>
  <c r="H94" i="2"/>
  <c r="I94" i="2"/>
  <c r="J94" i="2"/>
  <c r="K94" i="2"/>
  <c r="L94" i="2"/>
  <c r="M94" i="2"/>
  <c r="C95" i="2"/>
  <c r="E95" i="2"/>
  <c r="F95" i="2"/>
  <c r="G95" i="2"/>
  <c r="H95" i="2"/>
  <c r="I95" i="2"/>
  <c r="J95" i="2"/>
  <c r="K95" i="2"/>
  <c r="L95" i="2"/>
  <c r="M95" i="2"/>
  <c r="C96" i="2"/>
  <c r="E96" i="2"/>
  <c r="F96" i="2"/>
  <c r="G96" i="2"/>
  <c r="H96" i="2"/>
  <c r="I96" i="2"/>
  <c r="J96" i="2"/>
  <c r="K96" i="2"/>
  <c r="L96" i="2"/>
  <c r="M96" i="2"/>
  <c r="C97" i="2"/>
  <c r="E97" i="2"/>
  <c r="F97" i="2"/>
  <c r="G97" i="2"/>
  <c r="H97" i="2"/>
  <c r="I97" i="2"/>
  <c r="J97" i="2"/>
  <c r="K97" i="2"/>
  <c r="L97" i="2"/>
  <c r="M97" i="2"/>
  <c r="C98" i="2"/>
  <c r="E98" i="2"/>
  <c r="F98" i="2"/>
  <c r="G98" i="2"/>
  <c r="H98" i="2"/>
  <c r="I98" i="2"/>
  <c r="J98" i="2"/>
  <c r="K98" i="2"/>
  <c r="L98" i="2"/>
  <c r="M98" i="2"/>
  <c r="C99" i="2"/>
  <c r="E99" i="2"/>
  <c r="F99" i="2"/>
  <c r="G99" i="2"/>
  <c r="H99" i="2"/>
  <c r="I99" i="2"/>
  <c r="J99" i="2"/>
  <c r="K99" i="2"/>
  <c r="L99" i="2"/>
  <c r="M99" i="2"/>
  <c r="C100" i="2"/>
  <c r="E100" i="2"/>
  <c r="F100" i="2"/>
  <c r="G100" i="2"/>
  <c r="H100" i="2"/>
  <c r="I100" i="2"/>
  <c r="J100" i="2"/>
  <c r="K100" i="2"/>
  <c r="L100" i="2"/>
  <c r="M100" i="2"/>
  <c r="C101" i="2"/>
  <c r="E101" i="2"/>
  <c r="F101" i="2"/>
  <c r="G101" i="2"/>
  <c r="H101" i="2"/>
  <c r="I101" i="2"/>
  <c r="J101" i="2"/>
  <c r="K101" i="2"/>
  <c r="L101" i="2"/>
  <c r="M101" i="2"/>
  <c r="C102" i="2"/>
  <c r="E102" i="2"/>
  <c r="F102" i="2"/>
  <c r="G102" i="2"/>
  <c r="H102" i="2"/>
  <c r="I102" i="2"/>
  <c r="J102" i="2"/>
  <c r="K102" i="2"/>
  <c r="L102" i="2"/>
  <c r="M102" i="2"/>
  <c r="C103" i="2"/>
  <c r="E103" i="2"/>
  <c r="F103" i="2"/>
  <c r="G103" i="2"/>
  <c r="H103" i="2"/>
  <c r="I103" i="2"/>
  <c r="J103" i="2"/>
  <c r="K103" i="2"/>
  <c r="L103" i="2"/>
  <c r="M103" i="2"/>
  <c r="C104" i="2"/>
  <c r="E104" i="2"/>
  <c r="F104" i="2"/>
  <c r="G104" i="2"/>
  <c r="H104" i="2"/>
  <c r="I104" i="2"/>
  <c r="J104" i="2"/>
  <c r="K104" i="2"/>
  <c r="L104" i="2"/>
  <c r="M104" i="2"/>
  <c r="C105" i="2"/>
  <c r="E105" i="2"/>
  <c r="F105" i="2"/>
  <c r="G105" i="2"/>
  <c r="H105" i="2"/>
  <c r="I105" i="2"/>
  <c r="J105" i="2"/>
  <c r="K105" i="2"/>
  <c r="L105" i="2"/>
  <c r="M105" i="2"/>
  <c r="C106" i="2"/>
  <c r="E106" i="2"/>
  <c r="F106" i="2"/>
  <c r="G106" i="2"/>
  <c r="H106" i="2"/>
  <c r="I106" i="2"/>
  <c r="J106" i="2"/>
  <c r="K106" i="2"/>
  <c r="L106" i="2"/>
  <c r="M106" i="2"/>
  <c r="C107" i="2"/>
  <c r="E107" i="2"/>
  <c r="F107" i="2"/>
  <c r="G107" i="2"/>
  <c r="H107" i="2"/>
  <c r="I107" i="2"/>
  <c r="J107" i="2"/>
  <c r="K107" i="2"/>
  <c r="L107" i="2"/>
  <c r="M107" i="2"/>
  <c r="C108" i="2"/>
  <c r="E108" i="2"/>
  <c r="F108" i="2"/>
  <c r="G108" i="2"/>
  <c r="H108" i="2"/>
  <c r="I108" i="2"/>
  <c r="J108" i="2"/>
  <c r="K108" i="2"/>
  <c r="L108" i="2"/>
  <c r="M108" i="2"/>
  <c r="C109" i="2"/>
  <c r="E109" i="2"/>
  <c r="F109" i="2"/>
  <c r="G109" i="2"/>
  <c r="H109" i="2"/>
  <c r="I109" i="2"/>
  <c r="J109" i="2"/>
  <c r="K109" i="2"/>
  <c r="L109" i="2"/>
  <c r="M109" i="2"/>
  <c r="C110" i="2"/>
  <c r="E110" i="2"/>
  <c r="F110" i="2"/>
  <c r="G110" i="2"/>
  <c r="H110" i="2"/>
  <c r="I110" i="2"/>
  <c r="J110" i="2"/>
  <c r="K110" i="2"/>
  <c r="L110" i="2"/>
  <c r="M110" i="2"/>
  <c r="C111" i="2"/>
  <c r="E111" i="2"/>
  <c r="F111" i="2"/>
  <c r="G111" i="2"/>
  <c r="H111" i="2"/>
  <c r="I111" i="2"/>
  <c r="J111" i="2"/>
  <c r="K111" i="2"/>
  <c r="L111" i="2"/>
  <c r="M111" i="2"/>
  <c r="C112" i="2"/>
  <c r="E112" i="2"/>
  <c r="F112" i="2"/>
  <c r="G112" i="2"/>
  <c r="H112" i="2"/>
  <c r="I112" i="2"/>
  <c r="J112" i="2"/>
  <c r="K112" i="2"/>
  <c r="L112" i="2"/>
  <c r="M112" i="2"/>
  <c r="C113" i="2"/>
  <c r="E113" i="2"/>
  <c r="F113" i="2"/>
  <c r="G113" i="2"/>
  <c r="H113" i="2"/>
  <c r="I113" i="2"/>
  <c r="J113" i="2"/>
  <c r="K113" i="2"/>
  <c r="L113" i="2"/>
  <c r="M113" i="2"/>
  <c r="C114" i="2"/>
  <c r="E114" i="2"/>
  <c r="F114" i="2"/>
  <c r="G114" i="2"/>
  <c r="H114" i="2"/>
  <c r="I114" i="2"/>
  <c r="J114" i="2"/>
  <c r="K114" i="2"/>
  <c r="L114" i="2"/>
  <c r="M114" i="2"/>
  <c r="C115" i="2"/>
  <c r="E115" i="2"/>
  <c r="F115" i="2"/>
  <c r="G115" i="2"/>
  <c r="H115" i="2"/>
  <c r="I115" i="2"/>
  <c r="J115" i="2"/>
  <c r="K115" i="2"/>
  <c r="L115" i="2"/>
  <c r="M115" i="2"/>
  <c r="C116" i="2"/>
  <c r="E116" i="2"/>
  <c r="F116" i="2"/>
  <c r="G116" i="2"/>
  <c r="H116" i="2"/>
  <c r="I116" i="2"/>
  <c r="J116" i="2"/>
  <c r="K116" i="2"/>
  <c r="L116" i="2"/>
  <c r="M116" i="2"/>
  <c r="C117" i="2"/>
  <c r="E117" i="2"/>
  <c r="F117" i="2"/>
  <c r="G117" i="2"/>
  <c r="H117" i="2"/>
  <c r="I117" i="2"/>
  <c r="J117" i="2"/>
  <c r="K117" i="2"/>
  <c r="L117" i="2"/>
  <c r="M117" i="2"/>
  <c r="C118" i="2"/>
  <c r="E118" i="2"/>
  <c r="F118" i="2"/>
  <c r="G118" i="2"/>
  <c r="H118" i="2"/>
  <c r="I118" i="2"/>
  <c r="J118" i="2"/>
  <c r="K118" i="2"/>
  <c r="L118" i="2"/>
  <c r="M118" i="2"/>
  <c r="C119" i="2"/>
  <c r="E119" i="2"/>
  <c r="F119" i="2"/>
  <c r="G119" i="2"/>
  <c r="H119" i="2"/>
  <c r="I119" i="2"/>
  <c r="J119" i="2"/>
  <c r="K119" i="2"/>
  <c r="L119" i="2"/>
  <c r="M119" i="2"/>
  <c r="C120" i="2"/>
  <c r="E120" i="2"/>
  <c r="F120" i="2"/>
  <c r="G120" i="2"/>
  <c r="H120" i="2"/>
  <c r="I120" i="2"/>
  <c r="J120" i="2"/>
  <c r="K120" i="2"/>
  <c r="L120" i="2"/>
  <c r="M120" i="2"/>
  <c r="C121" i="2"/>
  <c r="E121" i="2"/>
  <c r="F121" i="2"/>
  <c r="G121" i="2"/>
  <c r="H121" i="2"/>
  <c r="I121" i="2"/>
  <c r="J121" i="2"/>
  <c r="K121" i="2"/>
  <c r="L121" i="2"/>
  <c r="M121" i="2"/>
  <c r="C122" i="2"/>
  <c r="E122" i="2"/>
  <c r="F122" i="2"/>
  <c r="G122" i="2"/>
  <c r="H122" i="2"/>
  <c r="I122" i="2"/>
  <c r="J122" i="2"/>
  <c r="K122" i="2"/>
  <c r="L122" i="2"/>
  <c r="M122" i="2"/>
  <c r="C123" i="2"/>
  <c r="E123" i="2"/>
  <c r="F123" i="2"/>
  <c r="G123" i="2"/>
  <c r="H123" i="2"/>
  <c r="I123" i="2"/>
  <c r="J123" i="2"/>
  <c r="K123" i="2"/>
  <c r="L123" i="2"/>
  <c r="M123" i="2"/>
  <c r="C124" i="2"/>
  <c r="E124" i="2"/>
  <c r="F124" i="2"/>
  <c r="G124" i="2"/>
  <c r="H124" i="2"/>
  <c r="I124" i="2"/>
  <c r="J124" i="2"/>
  <c r="K124" i="2"/>
  <c r="L124" i="2"/>
  <c r="M124" i="2"/>
  <c r="C125" i="2"/>
  <c r="E125" i="2"/>
  <c r="F125" i="2"/>
  <c r="G125" i="2"/>
  <c r="H125" i="2"/>
  <c r="I125" i="2"/>
  <c r="J125" i="2"/>
  <c r="K125" i="2"/>
  <c r="L125" i="2"/>
  <c r="M125" i="2"/>
  <c r="C126" i="2"/>
  <c r="E126" i="2"/>
  <c r="F126" i="2"/>
  <c r="G126" i="2"/>
  <c r="H126" i="2"/>
  <c r="I126" i="2"/>
  <c r="J126" i="2"/>
  <c r="K126" i="2"/>
  <c r="L126" i="2"/>
  <c r="M126" i="2"/>
  <c r="C127" i="2"/>
  <c r="E127" i="2"/>
  <c r="F127" i="2"/>
  <c r="G127" i="2"/>
  <c r="H127" i="2"/>
  <c r="I127" i="2"/>
  <c r="J127" i="2"/>
  <c r="K127" i="2"/>
  <c r="L127" i="2"/>
  <c r="M127" i="2"/>
  <c r="C128" i="2"/>
  <c r="E128" i="2"/>
  <c r="F128" i="2"/>
  <c r="G128" i="2"/>
  <c r="H128" i="2"/>
  <c r="I128" i="2"/>
  <c r="J128" i="2"/>
  <c r="K128" i="2"/>
  <c r="L128" i="2"/>
  <c r="M128" i="2"/>
  <c r="C129" i="2"/>
  <c r="E129" i="2"/>
  <c r="F129" i="2"/>
  <c r="G129" i="2"/>
  <c r="H129" i="2"/>
  <c r="I129" i="2"/>
  <c r="J129" i="2"/>
  <c r="K129" i="2"/>
  <c r="L129" i="2"/>
  <c r="M129" i="2"/>
  <c r="C130" i="2"/>
  <c r="E130" i="2"/>
  <c r="F130" i="2"/>
  <c r="G130" i="2"/>
  <c r="H130" i="2"/>
  <c r="I130" i="2"/>
  <c r="J130" i="2"/>
  <c r="K130" i="2"/>
  <c r="L130" i="2"/>
  <c r="M130" i="2"/>
  <c r="C131" i="2"/>
  <c r="E131" i="2"/>
  <c r="F131" i="2"/>
  <c r="G131" i="2"/>
  <c r="H131" i="2"/>
  <c r="I131" i="2"/>
  <c r="J131" i="2"/>
  <c r="K131" i="2"/>
  <c r="L131" i="2"/>
  <c r="M131" i="2"/>
  <c r="C132" i="2"/>
  <c r="E132" i="2"/>
  <c r="F132" i="2"/>
  <c r="G132" i="2"/>
  <c r="H132" i="2"/>
  <c r="I132" i="2"/>
  <c r="J132" i="2"/>
  <c r="K132" i="2"/>
  <c r="L132" i="2"/>
  <c r="M132" i="2"/>
  <c r="C133" i="2"/>
  <c r="E133" i="2"/>
  <c r="F133" i="2"/>
  <c r="G133" i="2"/>
  <c r="H133" i="2"/>
  <c r="I133" i="2"/>
  <c r="J133" i="2"/>
  <c r="K133" i="2"/>
  <c r="L133" i="2"/>
  <c r="M133" i="2"/>
  <c r="C134" i="2"/>
  <c r="E134" i="2"/>
  <c r="F134" i="2"/>
  <c r="G134" i="2"/>
  <c r="H134" i="2"/>
  <c r="I134" i="2"/>
  <c r="J134" i="2"/>
  <c r="K134" i="2"/>
  <c r="L134" i="2"/>
  <c r="M134" i="2"/>
  <c r="C135" i="2"/>
  <c r="E135" i="2"/>
  <c r="F135" i="2"/>
  <c r="G135" i="2"/>
  <c r="H135" i="2"/>
  <c r="I135" i="2"/>
  <c r="J135" i="2"/>
  <c r="K135" i="2"/>
  <c r="L135" i="2"/>
  <c r="M135" i="2"/>
  <c r="C2" i="2"/>
  <c r="E2" i="2"/>
  <c r="F2" i="2"/>
  <c r="G2" i="2"/>
  <c r="H2" i="2"/>
  <c r="I2" i="2"/>
  <c r="J2" i="2"/>
  <c r="K2" i="2"/>
  <c r="L2" i="2"/>
  <c r="M2" i="2"/>
  <c r="B3" i="2"/>
  <c r="B19" i="2"/>
  <c r="B35" i="2"/>
  <c r="B51" i="2"/>
  <c r="B67" i="2"/>
  <c r="B83" i="2"/>
  <c r="B99" i="2"/>
  <c r="B115" i="2"/>
  <c r="B131" i="2"/>
  <c r="B105" i="2"/>
  <c r="B4" i="2"/>
  <c r="B20" i="2"/>
  <c r="B36" i="2"/>
  <c r="B52" i="2"/>
  <c r="B68" i="2"/>
  <c r="B84" i="2"/>
  <c r="B100" i="2"/>
  <c r="B116" i="2"/>
  <c r="B132" i="2"/>
  <c r="B89" i="2"/>
  <c r="B42" i="2"/>
  <c r="B77" i="2"/>
  <c r="B128" i="2"/>
  <c r="B5" i="2"/>
  <c r="B21" i="2"/>
  <c r="B37" i="2"/>
  <c r="B53" i="2"/>
  <c r="B69" i="2"/>
  <c r="B85" i="2"/>
  <c r="B101" i="2"/>
  <c r="B117" i="2"/>
  <c r="B133" i="2"/>
  <c r="B73" i="2"/>
  <c r="B90" i="2"/>
  <c r="B81" i="2"/>
  <c r="B6" i="2"/>
  <c r="B22" i="2"/>
  <c r="B38" i="2"/>
  <c r="B54" i="2"/>
  <c r="B70" i="2"/>
  <c r="B86" i="2"/>
  <c r="B102" i="2"/>
  <c r="B118" i="2"/>
  <c r="B134" i="2"/>
  <c r="B104" i="2"/>
  <c r="B80" i="2"/>
  <c r="B7" i="2"/>
  <c r="B23" i="2"/>
  <c r="B39" i="2"/>
  <c r="B55" i="2"/>
  <c r="B71" i="2"/>
  <c r="B87" i="2"/>
  <c r="B103" i="2"/>
  <c r="B119" i="2"/>
  <c r="B135" i="2"/>
  <c r="B120" i="2"/>
  <c r="B74" i="2"/>
  <c r="B96" i="2"/>
  <c r="B129" i="2"/>
  <c r="B8" i="2"/>
  <c r="B24" i="2"/>
  <c r="B40" i="2"/>
  <c r="B56" i="2"/>
  <c r="B72" i="2"/>
  <c r="B88" i="2"/>
  <c r="B121" i="2"/>
  <c r="B58" i="2"/>
  <c r="B122" i="2"/>
  <c r="B109" i="2"/>
  <c r="B65" i="2"/>
  <c r="B9" i="2"/>
  <c r="B25" i="2"/>
  <c r="B41" i="2"/>
  <c r="B57" i="2"/>
  <c r="B106" i="2"/>
  <c r="B10" i="2"/>
  <c r="B26" i="2"/>
  <c r="B93" i="2"/>
  <c r="B97" i="2"/>
  <c r="B11" i="2"/>
  <c r="B27" i="2"/>
  <c r="B43" i="2"/>
  <c r="B59" i="2"/>
  <c r="B75" i="2"/>
  <c r="B91" i="2"/>
  <c r="B107" i="2"/>
  <c r="B123" i="2"/>
  <c r="B29" i="2"/>
  <c r="B61" i="2"/>
  <c r="B125" i="2"/>
  <c r="B48" i="2"/>
  <c r="B113" i="2"/>
  <c r="B12" i="2"/>
  <c r="B28" i="2"/>
  <c r="B44" i="2"/>
  <c r="B60" i="2"/>
  <c r="B76" i="2"/>
  <c r="B92" i="2"/>
  <c r="B108" i="2"/>
  <c r="B124" i="2"/>
  <c r="B13" i="2"/>
  <c r="B45" i="2"/>
  <c r="B112" i="2"/>
  <c r="B14" i="2"/>
  <c r="B30" i="2"/>
  <c r="B46" i="2"/>
  <c r="B62" i="2"/>
  <c r="B78" i="2"/>
  <c r="B94" i="2"/>
  <c r="B110" i="2"/>
  <c r="B126" i="2"/>
  <c r="B111" i="2"/>
  <c r="B32" i="2"/>
  <c r="B33" i="2"/>
  <c r="B15" i="2"/>
  <c r="B31" i="2"/>
  <c r="B47" i="2"/>
  <c r="B63" i="2"/>
  <c r="B79" i="2"/>
  <c r="B95" i="2"/>
  <c r="B127" i="2"/>
  <c r="B16" i="2"/>
  <c r="B64" i="2"/>
  <c r="B17" i="2"/>
  <c r="B18" i="2"/>
  <c r="B34" i="2"/>
  <c r="B50" i="2"/>
  <c r="B66" i="2"/>
  <c r="B82" i="2"/>
  <c r="B98" i="2"/>
  <c r="B114" i="2"/>
  <c r="B130" i="2"/>
  <c r="B49" i="2"/>
  <c r="B2" i="2"/>
  <c r="S3" i="2"/>
  <c r="S19" i="2"/>
  <c r="S35" i="2"/>
  <c r="S51" i="2"/>
  <c r="S67" i="2"/>
  <c r="S83" i="2"/>
  <c r="S99" i="2"/>
  <c r="S115" i="2"/>
  <c r="S131" i="2"/>
  <c r="S37" i="2"/>
  <c r="S4" i="2"/>
  <c r="S20" i="2"/>
  <c r="S36" i="2"/>
  <c r="S52" i="2"/>
  <c r="S68" i="2"/>
  <c r="S84" i="2"/>
  <c r="S100" i="2"/>
  <c r="S116" i="2"/>
  <c r="S132" i="2"/>
  <c r="S53" i="2"/>
  <c r="S85" i="2"/>
  <c r="S101" i="2"/>
  <c r="S134" i="2"/>
  <c r="S96" i="2"/>
  <c r="S5" i="2"/>
  <c r="S21" i="2"/>
  <c r="S69" i="2"/>
  <c r="S117" i="2"/>
  <c r="S133" i="2"/>
  <c r="S118" i="2"/>
  <c r="S6" i="2"/>
  <c r="S22" i="2"/>
  <c r="S38" i="2"/>
  <c r="S54" i="2"/>
  <c r="S70" i="2"/>
  <c r="S86" i="2"/>
  <c r="S102" i="2"/>
  <c r="S7" i="2"/>
  <c r="S23" i="2"/>
  <c r="S39" i="2"/>
  <c r="S55" i="2"/>
  <c r="S71" i="2"/>
  <c r="S87" i="2"/>
  <c r="S103" i="2"/>
  <c r="S119" i="2"/>
  <c r="S135" i="2"/>
  <c r="S24" i="2"/>
  <c r="S40" i="2"/>
  <c r="S72" i="2"/>
  <c r="S121" i="2"/>
  <c r="S97" i="2"/>
  <c r="S8" i="2"/>
  <c r="S56" i="2"/>
  <c r="S88" i="2"/>
  <c r="S104" i="2"/>
  <c r="S120" i="2"/>
  <c r="S81" i="2"/>
  <c r="S9" i="2"/>
  <c r="S25" i="2"/>
  <c r="S41" i="2"/>
  <c r="S57" i="2"/>
  <c r="S73" i="2"/>
  <c r="S89" i="2"/>
  <c r="S105" i="2"/>
  <c r="S65" i="2"/>
  <c r="S10" i="2"/>
  <c r="S26" i="2"/>
  <c r="S42" i="2"/>
  <c r="S58" i="2"/>
  <c r="S74" i="2"/>
  <c r="S90" i="2"/>
  <c r="S106" i="2"/>
  <c r="S122" i="2"/>
  <c r="S110" i="2"/>
  <c r="S49" i="2"/>
  <c r="S11" i="2"/>
  <c r="S27" i="2"/>
  <c r="S43" i="2"/>
  <c r="S59" i="2"/>
  <c r="S75" i="2"/>
  <c r="S91" i="2"/>
  <c r="S107" i="2"/>
  <c r="S123" i="2"/>
  <c r="S108" i="2"/>
  <c r="S126" i="2"/>
  <c r="S33" i="2"/>
  <c r="S12" i="2"/>
  <c r="S28" i="2"/>
  <c r="S44" i="2"/>
  <c r="S60" i="2"/>
  <c r="S76" i="2"/>
  <c r="S92" i="2"/>
  <c r="S124" i="2"/>
  <c r="S125" i="2"/>
  <c r="S94" i="2"/>
  <c r="S112" i="2"/>
  <c r="S113" i="2"/>
  <c r="S13" i="2"/>
  <c r="S29" i="2"/>
  <c r="S45" i="2"/>
  <c r="S61" i="2"/>
  <c r="S77" i="2"/>
  <c r="S93" i="2"/>
  <c r="S109" i="2"/>
  <c r="S78" i="2"/>
  <c r="S128" i="2"/>
  <c r="S14" i="2"/>
  <c r="S30" i="2"/>
  <c r="S46" i="2"/>
  <c r="S62" i="2"/>
  <c r="S15" i="2"/>
  <c r="S31" i="2"/>
  <c r="S47" i="2"/>
  <c r="S63" i="2"/>
  <c r="S79" i="2"/>
  <c r="S95" i="2"/>
  <c r="S111" i="2"/>
  <c r="S127" i="2"/>
  <c r="S16" i="2"/>
  <c r="S32" i="2"/>
  <c r="S48" i="2"/>
  <c r="S64" i="2"/>
  <c r="S80" i="2"/>
  <c r="S17" i="2"/>
  <c r="S18" i="2"/>
  <c r="S34" i="2"/>
  <c r="S50" i="2"/>
  <c r="S66" i="2"/>
  <c r="S82" i="2"/>
  <c r="S98" i="2"/>
  <c r="S114" i="2"/>
  <c r="S130" i="2"/>
  <c r="S129" i="2"/>
  <c r="S2" i="2"/>
  <c r="Q3" i="2"/>
  <c r="Q11" i="2"/>
  <c r="Q19" i="2"/>
  <c r="Q27" i="2"/>
  <c r="Q35" i="2"/>
  <c r="R3" i="2"/>
  <c r="R11" i="2"/>
  <c r="R19" i="2"/>
  <c r="R27" i="2"/>
  <c r="R35" i="2"/>
  <c r="R43" i="2"/>
  <c r="R51" i="2"/>
  <c r="R59" i="2"/>
  <c r="R67" i="2"/>
  <c r="R75" i="2"/>
  <c r="R83" i="2"/>
  <c r="R91" i="2"/>
  <c r="R99" i="2"/>
  <c r="R107" i="2"/>
  <c r="R115" i="2"/>
  <c r="R123" i="2"/>
  <c r="R131" i="2"/>
  <c r="Q108" i="2"/>
  <c r="Q124" i="2"/>
  <c r="R36" i="2"/>
  <c r="R52" i="2"/>
  <c r="R76" i="2"/>
  <c r="R92" i="2"/>
  <c r="R108" i="2"/>
  <c r="R116" i="2"/>
  <c r="R124" i="2"/>
  <c r="R132" i="2"/>
  <c r="Q107" i="2"/>
  <c r="Q4" i="2"/>
  <c r="Q12" i="2"/>
  <c r="Q20" i="2"/>
  <c r="Q28" i="2"/>
  <c r="Q36" i="2"/>
  <c r="Q44" i="2"/>
  <c r="Q52" i="2"/>
  <c r="Q60" i="2"/>
  <c r="Q68" i="2"/>
  <c r="Q76" i="2"/>
  <c r="Q84" i="2"/>
  <c r="Q92" i="2"/>
  <c r="Q100" i="2"/>
  <c r="Q116" i="2"/>
  <c r="Q132" i="2"/>
  <c r="R28" i="2"/>
  <c r="R44" i="2"/>
  <c r="R60" i="2"/>
  <c r="R68" i="2"/>
  <c r="R84" i="2"/>
  <c r="R100" i="2"/>
  <c r="Q117" i="2"/>
  <c r="R130" i="2"/>
  <c r="Q115" i="2"/>
  <c r="R4" i="2"/>
  <c r="R12" i="2"/>
  <c r="R20" i="2"/>
  <c r="Q123" i="2"/>
  <c r="Q5" i="2"/>
  <c r="Q13" i="2"/>
  <c r="Q21" i="2"/>
  <c r="Q29" i="2"/>
  <c r="Q37" i="2"/>
  <c r="Q45" i="2"/>
  <c r="Q53" i="2"/>
  <c r="Q61" i="2"/>
  <c r="Q69" i="2"/>
  <c r="Q77" i="2"/>
  <c r="Q85" i="2"/>
  <c r="Q93" i="2"/>
  <c r="Q101" i="2"/>
  <c r="Q109" i="2"/>
  <c r="Q125" i="2"/>
  <c r="Q133" i="2"/>
  <c r="R114" i="2"/>
  <c r="Q83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Q126" i="2"/>
  <c r="R126" i="2"/>
  <c r="R47" i="2"/>
  <c r="R87" i="2"/>
  <c r="R111" i="2"/>
  <c r="Q64" i="2"/>
  <c r="Q120" i="2"/>
  <c r="Q113" i="2"/>
  <c r="Q59" i="2"/>
  <c r="Q6" i="2"/>
  <c r="Q14" i="2"/>
  <c r="Q22" i="2"/>
  <c r="Q30" i="2"/>
  <c r="Q38" i="2"/>
  <c r="Q46" i="2"/>
  <c r="Q54" i="2"/>
  <c r="Q62" i="2"/>
  <c r="Q70" i="2"/>
  <c r="Q78" i="2"/>
  <c r="Q86" i="2"/>
  <c r="Q94" i="2"/>
  <c r="Q102" i="2"/>
  <c r="Q110" i="2"/>
  <c r="Q118" i="2"/>
  <c r="Q134" i="2"/>
  <c r="R110" i="2"/>
  <c r="R55" i="2"/>
  <c r="R79" i="2"/>
  <c r="R95" i="2"/>
  <c r="Q72" i="2"/>
  <c r="Q105" i="2"/>
  <c r="Q91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8" i="2"/>
  <c r="R134" i="2"/>
  <c r="R39" i="2"/>
  <c r="R71" i="2"/>
  <c r="R119" i="2"/>
  <c r="R135" i="2"/>
  <c r="Q56" i="2"/>
  <c r="Q88" i="2"/>
  <c r="Q104" i="2"/>
  <c r="Q128" i="2"/>
  <c r="Q129" i="2"/>
  <c r="Q99" i="2"/>
  <c r="Q7" i="2"/>
  <c r="Q15" i="2"/>
  <c r="Q23" i="2"/>
  <c r="Q31" i="2"/>
  <c r="Q39" i="2"/>
  <c r="Q47" i="2"/>
  <c r="Q55" i="2"/>
  <c r="Q63" i="2"/>
  <c r="Q71" i="2"/>
  <c r="Q79" i="2"/>
  <c r="Q87" i="2"/>
  <c r="Q95" i="2"/>
  <c r="Q103" i="2"/>
  <c r="Q111" i="2"/>
  <c r="Q119" i="2"/>
  <c r="Q127" i="2"/>
  <c r="Q135" i="2"/>
  <c r="R31" i="2"/>
  <c r="R63" i="2"/>
  <c r="R103" i="2"/>
  <c r="R127" i="2"/>
  <c r="Q48" i="2"/>
  <c r="Q80" i="2"/>
  <c r="Q96" i="2"/>
  <c r="Q112" i="2"/>
  <c r="Q121" i="2"/>
  <c r="Q75" i="2"/>
  <c r="R7" i="2"/>
  <c r="R15" i="2"/>
  <c r="R23" i="2"/>
  <c r="Q8" i="2"/>
  <c r="Q16" i="2"/>
  <c r="Q24" i="2"/>
  <c r="Q32" i="2"/>
  <c r="Q40" i="2"/>
  <c r="R8" i="2"/>
  <c r="R16" i="2"/>
  <c r="R24" i="2"/>
  <c r="R32" i="2"/>
  <c r="R40" i="2"/>
  <c r="R48" i="2"/>
  <c r="R56" i="2"/>
  <c r="R64" i="2"/>
  <c r="R72" i="2"/>
  <c r="R80" i="2"/>
  <c r="R88" i="2"/>
  <c r="R96" i="2"/>
  <c r="R104" i="2"/>
  <c r="R112" i="2"/>
  <c r="R120" i="2"/>
  <c r="R128" i="2"/>
  <c r="Q9" i="2"/>
  <c r="Q17" i="2"/>
  <c r="Q25" i="2"/>
  <c r="Q33" i="2"/>
  <c r="Q41" i="2"/>
  <c r="Q49" i="2"/>
  <c r="Q57" i="2"/>
  <c r="Q65" i="2"/>
  <c r="Q73" i="2"/>
  <c r="Q81" i="2"/>
  <c r="Q89" i="2"/>
  <c r="Q97" i="2"/>
  <c r="R106" i="2"/>
  <c r="Q51" i="2"/>
  <c r="R9" i="2"/>
  <c r="R17" i="2"/>
  <c r="R25" i="2"/>
  <c r="R33" i="2"/>
  <c r="R41" i="2"/>
  <c r="R49" i="2"/>
  <c r="R57" i="2"/>
  <c r="R65" i="2"/>
  <c r="R73" i="2"/>
  <c r="R81" i="2"/>
  <c r="R89" i="2"/>
  <c r="R97" i="2"/>
  <c r="R105" i="2"/>
  <c r="R113" i="2"/>
  <c r="R121" i="2"/>
  <c r="R129" i="2"/>
  <c r="Q98" i="2"/>
  <c r="Q114" i="2"/>
  <c r="Q122" i="2"/>
  <c r="R10" i="2"/>
  <c r="R26" i="2"/>
  <c r="R34" i="2"/>
  <c r="R42" i="2"/>
  <c r="R50" i="2"/>
  <c r="R58" i="2"/>
  <c r="R66" i="2"/>
  <c r="R74" i="2"/>
  <c r="R82" i="2"/>
  <c r="R90" i="2"/>
  <c r="R122" i="2"/>
  <c r="Q43" i="2"/>
  <c r="Q131" i="2"/>
  <c r="Q10" i="2"/>
  <c r="Q18" i="2"/>
  <c r="Q26" i="2"/>
  <c r="Q34" i="2"/>
  <c r="Q42" i="2"/>
  <c r="Q50" i="2"/>
  <c r="Q58" i="2"/>
  <c r="Q66" i="2"/>
  <c r="Q74" i="2"/>
  <c r="Q82" i="2"/>
  <c r="Q90" i="2"/>
  <c r="Q106" i="2"/>
  <c r="Q130" i="2"/>
  <c r="R18" i="2"/>
  <c r="R98" i="2"/>
  <c r="Q67" i="2"/>
  <c r="R2" i="2"/>
  <c r="Q2" i="2"/>
  <c r="D48" i="2" l="1"/>
  <c r="D14" i="2"/>
  <c r="D130" i="2"/>
  <c r="D80" i="2"/>
  <c r="D16" i="2"/>
  <c r="D131" i="2"/>
  <c r="D75" i="2"/>
  <c r="D27" i="2"/>
  <c r="D68" i="2"/>
  <c r="D36" i="2"/>
  <c r="D10" i="2"/>
  <c r="D129" i="2"/>
  <c r="D76" i="2"/>
  <c r="D5" i="2"/>
  <c r="D124" i="2"/>
  <c r="D72" i="2"/>
  <c r="D64" i="2"/>
  <c r="D105" i="2"/>
  <c r="D113" i="2"/>
  <c r="D44" i="2"/>
  <c r="D28" i="2"/>
  <c r="D52" i="2"/>
  <c r="D135" i="2"/>
  <c r="D60" i="2"/>
  <c r="D116" i="2"/>
  <c r="D108" i="2"/>
  <c r="D100" i="2"/>
  <c r="D92" i="2"/>
  <c r="D17" i="2"/>
  <c r="D9" i="2"/>
  <c r="D111" i="2"/>
  <c r="D95" i="2"/>
  <c r="D87" i="2"/>
  <c r="D20" i="2"/>
  <c r="D12" i="2"/>
  <c r="D4" i="2"/>
  <c r="D122" i="2"/>
  <c r="D114" i="2"/>
  <c r="D106" i="2"/>
  <c r="D15" i="2"/>
  <c r="D7" i="2"/>
  <c r="D125" i="2"/>
  <c r="D82" i="2"/>
  <c r="D74" i="2"/>
  <c r="D66" i="2"/>
  <c r="D58" i="2"/>
  <c r="D50" i="2"/>
  <c r="D42" i="2"/>
  <c r="D34" i="2"/>
  <c r="D132" i="2"/>
  <c r="D33" i="2"/>
  <c r="D117" i="2"/>
  <c r="D93" i="2"/>
  <c r="D65" i="2"/>
  <c r="D81" i="2"/>
  <c r="D112" i="2"/>
  <c r="D41" i="2"/>
  <c r="D8" i="2"/>
  <c r="D73" i="2"/>
  <c r="D133" i="2"/>
  <c r="D83" i="2"/>
  <c r="D67" i="2"/>
  <c r="D59" i="2"/>
  <c r="D51" i="2"/>
  <c r="D43" i="2"/>
  <c r="D35" i="2"/>
  <c r="D57" i="2"/>
  <c r="D102" i="2"/>
  <c r="D94" i="2"/>
  <c r="D86" i="2"/>
  <c r="D49" i="2"/>
  <c r="D109" i="2"/>
  <c r="D63" i="2"/>
  <c r="D39" i="2"/>
  <c r="D120" i="2"/>
  <c r="D101" i="2"/>
  <c r="D90" i="2"/>
  <c r="D23" i="2"/>
  <c r="D128" i="2"/>
  <c r="D55" i="2"/>
  <c r="D134" i="2"/>
  <c r="D123" i="2"/>
  <c r="D104" i="2"/>
  <c r="D85" i="2"/>
  <c r="D26" i="2"/>
  <c r="D126" i="2"/>
  <c r="D115" i="2"/>
  <c r="D96" i="2"/>
  <c r="D77" i="2"/>
  <c r="D69" i="2"/>
  <c r="D61" i="2"/>
  <c r="D53" i="2"/>
  <c r="D45" i="2"/>
  <c r="D37" i="2"/>
  <c r="D29" i="2"/>
  <c r="D18" i="2"/>
  <c r="D79" i="2"/>
  <c r="D118" i="2"/>
  <c r="D107" i="2"/>
  <c r="D88" i="2"/>
  <c r="D21" i="2"/>
  <c r="D110" i="2"/>
  <c r="D99" i="2"/>
  <c r="D56" i="2"/>
  <c r="D40" i="2"/>
  <c r="D32" i="2"/>
  <c r="D13" i="2"/>
  <c r="D121" i="2"/>
  <c r="D91" i="2"/>
  <c r="D24" i="2"/>
  <c r="D127" i="2"/>
  <c r="D97" i="2"/>
  <c r="D78" i="2"/>
  <c r="D70" i="2"/>
  <c r="D62" i="2"/>
  <c r="D54" i="2"/>
  <c r="D46" i="2"/>
  <c r="D38" i="2"/>
  <c r="D30" i="2"/>
  <c r="D19" i="2"/>
  <c r="D47" i="2"/>
  <c r="D119" i="2"/>
  <c r="D89" i="2"/>
  <c r="D22" i="2"/>
  <c r="D11" i="2"/>
  <c r="D98" i="2"/>
  <c r="D2" i="2"/>
  <c r="D71" i="2"/>
  <c r="D31" i="2"/>
  <c r="D103" i="2"/>
  <c r="D25" i="2"/>
  <c r="D6" i="2"/>
  <c r="N116" i="2" l="1"/>
  <c r="N37" i="2"/>
  <c r="N128" i="2"/>
  <c r="N113" i="2"/>
  <c r="N132" i="2"/>
  <c r="N133" i="2"/>
  <c r="N10" i="2"/>
  <c r="N73" i="2"/>
  <c r="N112" i="2"/>
  <c r="N65" i="2"/>
  <c r="N111" i="2"/>
  <c r="N71" i="2"/>
  <c r="N22" i="2"/>
  <c r="N102" i="2"/>
  <c r="N76" i="2"/>
  <c r="N33" i="2"/>
  <c r="N135" i="2"/>
  <c r="N134" i="2"/>
  <c r="N59" i="2"/>
  <c r="N81" i="2"/>
  <c r="N15" i="2"/>
  <c r="N96" i="2"/>
  <c r="N50" i="2"/>
  <c r="N118" i="2"/>
  <c r="N4" i="2"/>
  <c r="N117" i="2"/>
  <c r="N69" i="2"/>
  <c r="N27" i="2"/>
  <c r="N51" i="2"/>
  <c r="N14" i="2"/>
  <c r="N42" i="2"/>
  <c r="N121" i="2"/>
  <c r="N115" i="2"/>
  <c r="N97" i="2"/>
  <c r="N85" i="2"/>
  <c r="N108" i="2"/>
  <c r="N16" i="2"/>
  <c r="N39" i="2"/>
  <c r="N131" i="2"/>
  <c r="N86" i="2"/>
  <c r="N130" i="2"/>
  <c r="N107" i="2"/>
  <c r="N93" i="2"/>
  <c r="N78" i="2"/>
  <c r="N75" i="2"/>
  <c r="N12" i="2"/>
  <c r="N92" i="2"/>
  <c r="N46" i="2"/>
  <c r="N67" i="2"/>
  <c r="N119" i="2"/>
  <c r="N34" i="2"/>
  <c r="N84" i="2"/>
  <c r="N19" i="2"/>
  <c r="N56" i="2"/>
  <c r="N60" i="2"/>
  <c r="N17" i="2"/>
  <c r="N105" i="2"/>
  <c r="N122" i="2"/>
  <c r="N124" i="2"/>
  <c r="N49" i="2"/>
  <c r="N7" i="2"/>
  <c r="N110" i="2"/>
  <c r="N54" i="2"/>
  <c r="N72" i="2"/>
  <c r="N8" i="2"/>
  <c r="N103" i="2"/>
  <c r="N66" i="2"/>
  <c r="N24" i="2"/>
  <c r="N91" i="2"/>
  <c r="N61" i="2"/>
  <c r="N3" i="2"/>
  <c r="N68" i="2"/>
  <c r="N74" i="2"/>
  <c r="N20" i="2"/>
  <c r="N45" i="2"/>
  <c r="N99" i="2"/>
  <c r="N95" i="2"/>
  <c r="N57" i="2"/>
  <c r="N98" i="2"/>
  <c r="N36" i="2"/>
  <c r="N94" i="2"/>
  <c r="N44" i="2"/>
  <c r="N31" i="2"/>
  <c r="N77" i="2"/>
  <c r="N40" i="2"/>
  <c r="N55" i="2"/>
  <c r="N25" i="2"/>
  <c r="N80" i="2"/>
  <c r="N83" i="2"/>
  <c r="N70" i="2"/>
  <c r="N32" i="2"/>
  <c r="N26" i="2"/>
  <c r="N38" i="2"/>
  <c r="N28" i="2"/>
  <c r="N53" i="2"/>
  <c r="N89" i="2"/>
  <c r="N101" i="2"/>
  <c r="N123" i="2"/>
  <c r="N129" i="2"/>
  <c r="N63" i="2"/>
  <c r="N87" i="2"/>
  <c r="N127" i="2"/>
  <c r="N88" i="2"/>
  <c r="N35" i="2"/>
  <c r="N48" i="2"/>
  <c r="N114" i="2"/>
  <c r="N9" i="2"/>
  <c r="N79" i="2"/>
  <c r="N11" i="2"/>
  <c r="N13" i="2"/>
  <c r="N58" i="2"/>
  <c r="N52" i="2"/>
  <c r="N43" i="2"/>
  <c r="N6" i="2"/>
  <c r="N5" i="2"/>
  <c r="N106" i="2"/>
  <c r="N21" i="2"/>
  <c r="N109" i="2"/>
  <c r="N104" i="2"/>
  <c r="N64" i="2"/>
  <c r="N23" i="2"/>
  <c r="N125" i="2"/>
  <c r="N41" i="2"/>
  <c r="N120" i="2"/>
  <c r="N62" i="2"/>
  <c r="N82" i="2"/>
  <c r="N100" i="2"/>
  <c r="N29" i="2"/>
  <c r="N47" i="2"/>
  <c r="N126" i="2"/>
  <c r="N90" i="2"/>
  <c r="N18" i="2"/>
  <c r="N2" i="2"/>
  <c r="N30" i="2"/>
  <c r="P59" i="2"/>
  <c r="P7" i="2"/>
  <c r="P96" i="2"/>
  <c r="P22" i="2"/>
  <c r="P121" i="2"/>
  <c r="P48" i="2"/>
  <c r="P30" i="2"/>
  <c r="P92" i="2"/>
  <c r="P69" i="2"/>
  <c r="P12" i="2"/>
  <c r="P76" i="2"/>
  <c r="P85" i="2"/>
  <c r="P104" i="2"/>
  <c r="P5" i="2"/>
  <c r="P131" i="2"/>
  <c r="P103" i="2"/>
  <c r="P14" i="2"/>
  <c r="P126" i="2"/>
  <c r="P18" i="2"/>
  <c r="P87" i="2"/>
  <c r="P71" i="2"/>
  <c r="P98" i="2"/>
  <c r="P106" i="2"/>
  <c r="P66" i="2"/>
  <c r="P73" i="2"/>
  <c r="P10" i="2"/>
  <c r="P113" i="2"/>
  <c r="P27" i="2"/>
  <c r="P128" i="2"/>
  <c r="P43" i="2"/>
  <c r="P114" i="2"/>
  <c r="P94" i="2"/>
  <c r="P57" i="2"/>
  <c r="P111" i="2"/>
  <c r="P108" i="2"/>
  <c r="P9" i="2"/>
  <c r="P40" i="2"/>
  <c r="P46" i="2"/>
  <c r="P101" i="2"/>
  <c r="P78" i="2"/>
  <c r="P124" i="2"/>
  <c r="P99" i="2"/>
  <c r="P37" i="2"/>
  <c r="P34" i="2"/>
  <c r="P117" i="2"/>
  <c r="P65" i="2"/>
  <c r="P123" i="2"/>
  <c r="P132" i="2"/>
  <c r="P127" i="2"/>
  <c r="P105" i="2"/>
  <c r="P93" i="2"/>
  <c r="P33" i="2"/>
  <c r="P21" i="2"/>
  <c r="P125" i="2"/>
  <c r="P89" i="2"/>
  <c r="P4" i="2"/>
  <c r="P83" i="2"/>
  <c r="P86" i="2"/>
  <c r="P15" i="2"/>
  <c r="P112" i="2"/>
  <c r="P68" i="2"/>
  <c r="P70" i="2"/>
  <c r="P134" i="2"/>
  <c r="P109" i="2"/>
  <c r="P41" i="2"/>
  <c r="P120" i="2"/>
  <c r="P11" i="2"/>
  <c r="P88" i="2"/>
  <c r="P64" i="2"/>
  <c r="P3" i="2"/>
  <c r="P95" i="2"/>
  <c r="P6" i="2"/>
  <c r="P49" i="2"/>
  <c r="P84" i="2"/>
  <c r="P102" i="2"/>
  <c r="P24" i="2"/>
  <c r="P52" i="2"/>
  <c r="P82" i="2"/>
  <c r="P20" i="2"/>
  <c r="P80" i="2"/>
  <c r="P90" i="2"/>
  <c r="P119" i="2"/>
  <c r="P39" i="2"/>
  <c r="P122" i="2"/>
  <c r="P25" i="2"/>
  <c r="P133" i="2"/>
  <c r="P63" i="2"/>
  <c r="P58" i="2"/>
  <c r="P130" i="2"/>
  <c r="P26" i="2"/>
  <c r="P115" i="2"/>
  <c r="P97" i="2"/>
  <c r="P8" i="2"/>
  <c r="P51" i="2"/>
  <c r="P54" i="2"/>
  <c r="P47" i="2"/>
  <c r="P129" i="2"/>
  <c r="P38" i="2"/>
  <c r="P31" i="2"/>
  <c r="P79" i="2"/>
  <c r="P28" i="2"/>
  <c r="P13" i="2"/>
  <c r="P75" i="2"/>
  <c r="P110" i="2"/>
  <c r="P32" i="2"/>
  <c r="P55" i="2"/>
  <c r="P29" i="2"/>
  <c r="P67" i="2"/>
  <c r="P44" i="2"/>
  <c r="P135" i="2"/>
  <c r="P107" i="2"/>
  <c r="P16" i="2"/>
  <c r="P91" i="2"/>
  <c r="P45" i="2"/>
  <c r="P116" i="2"/>
  <c r="P19" i="2"/>
  <c r="P23" i="2"/>
  <c r="P100" i="2"/>
  <c r="P61" i="2"/>
  <c r="P72" i="2"/>
  <c r="P35" i="2"/>
  <c r="P60" i="2"/>
  <c r="P42" i="2"/>
  <c r="P36" i="2"/>
  <c r="P50" i="2"/>
  <c r="P56" i="2"/>
  <c r="P118" i="2"/>
  <c r="P62" i="2"/>
  <c r="P53" i="2"/>
  <c r="P81" i="2"/>
  <c r="P77" i="2"/>
  <c r="P17" i="2"/>
  <c r="P2" i="2"/>
  <c r="P74" i="2"/>
  <c r="O21" i="2"/>
  <c r="O35" i="2"/>
  <c r="O13" i="2"/>
  <c r="O97" i="2"/>
  <c r="O69" i="2"/>
  <c r="O81" i="2"/>
  <c r="O74" i="2"/>
  <c r="O30" i="2"/>
  <c r="O3" i="2"/>
  <c r="O26" i="2"/>
  <c r="O62" i="2"/>
  <c r="O85" i="2"/>
  <c r="O99" i="2"/>
  <c r="O114" i="2"/>
  <c r="O75" i="2"/>
  <c r="O94" i="2"/>
  <c r="O91" i="2"/>
  <c r="O79" i="2"/>
  <c r="O71" i="2"/>
  <c r="O102" i="2"/>
  <c r="O101" i="2"/>
  <c r="O88" i="2"/>
  <c r="O73" i="2"/>
  <c r="O46" i="2"/>
  <c r="O20" i="2"/>
  <c r="O51" i="2"/>
  <c r="O18" i="2"/>
  <c r="O103" i="2"/>
  <c r="O72" i="2"/>
  <c r="O134" i="2"/>
  <c r="O24" i="2"/>
  <c r="O55" i="2"/>
  <c r="O61" i="2"/>
  <c r="O67" i="2"/>
  <c r="O93" i="2"/>
  <c r="O28" i="2"/>
  <c r="O121" i="2"/>
  <c r="O12" i="2"/>
  <c r="O34" i="2"/>
  <c r="O59" i="2"/>
  <c r="O78" i="2"/>
  <c r="O116" i="2"/>
  <c r="O58" i="2"/>
  <c r="O33" i="2"/>
  <c r="O39" i="2"/>
  <c r="O10" i="2"/>
  <c r="O16" i="2"/>
  <c r="O100" i="2"/>
  <c r="O29" i="2"/>
  <c r="O107" i="2"/>
  <c r="O77" i="2"/>
  <c r="O129" i="2"/>
  <c r="O19" i="2"/>
  <c r="O131" i="2"/>
  <c r="O133" i="2"/>
  <c r="O84" i="2"/>
  <c r="O122" i="2"/>
  <c r="O117" i="2"/>
  <c r="O66" i="2"/>
  <c r="O8" i="2"/>
  <c r="O60" i="2"/>
  <c r="O57" i="2"/>
  <c r="O65" i="2"/>
  <c r="O40" i="2"/>
  <c r="O9" i="2"/>
  <c r="O5" i="2"/>
  <c r="O76" i="2"/>
  <c r="O132" i="2"/>
  <c r="O109" i="2"/>
  <c r="O128" i="2"/>
  <c r="O15" i="2"/>
  <c r="O48" i="2"/>
  <c r="O86" i="2"/>
  <c r="O32" i="2"/>
  <c r="O25" i="2"/>
  <c r="O31" i="2"/>
  <c r="O27" i="2"/>
  <c r="O123" i="2"/>
  <c r="O110" i="2"/>
  <c r="O50" i="2"/>
  <c r="O41" i="2"/>
  <c r="O42" i="2"/>
  <c r="O14" i="2"/>
  <c r="O87" i="2"/>
  <c r="O126" i="2"/>
  <c r="O113" i="2"/>
  <c r="O96" i="2"/>
  <c r="O37" i="2"/>
  <c r="O80" i="2"/>
  <c r="O82" i="2"/>
  <c r="O7" i="2"/>
  <c r="O125" i="2"/>
  <c r="O92" i="2"/>
  <c r="O17" i="2"/>
  <c r="O52" i="2"/>
  <c r="O47" i="2"/>
  <c r="O135" i="2"/>
  <c r="O104" i="2"/>
  <c r="O23" i="2"/>
  <c r="O108" i="2"/>
  <c r="O130" i="2"/>
  <c r="O38" i="2"/>
  <c r="O89" i="2"/>
  <c r="O45" i="2"/>
  <c r="O49" i="2"/>
  <c r="O83" i="2"/>
  <c r="O6" i="2"/>
  <c r="O95" i="2"/>
  <c r="O127" i="2"/>
  <c r="O115" i="2"/>
  <c r="O11" i="2"/>
  <c r="O70" i="2"/>
  <c r="O106" i="2"/>
  <c r="O124" i="2"/>
  <c r="O120" i="2"/>
  <c r="O105" i="2"/>
  <c r="O64" i="2"/>
  <c r="O43" i="2"/>
  <c r="O44" i="2"/>
  <c r="O22" i="2"/>
  <c r="O54" i="2"/>
  <c r="O90" i="2"/>
  <c r="O111" i="2"/>
  <c r="O4" i="2"/>
  <c r="O118" i="2"/>
  <c r="O68" i="2"/>
  <c r="O56" i="2"/>
  <c r="O112" i="2"/>
  <c r="O119" i="2"/>
  <c r="O36" i="2"/>
  <c r="O63" i="2"/>
  <c r="O98" i="2"/>
  <c r="O2" i="2"/>
  <c r="O53" i="2"/>
</calcChain>
</file>

<file path=xl/sharedStrings.xml><?xml version="1.0" encoding="utf-8"?>
<sst xmlns="http://schemas.openxmlformats.org/spreadsheetml/2006/main" count="154" uniqueCount="154">
  <si>
    <t>90007671.SZ</t>
  </si>
  <si>
    <t>90007655.SZ</t>
  </si>
  <si>
    <t>90007645.SZ</t>
  </si>
  <si>
    <t>90007573.SZ</t>
  </si>
  <si>
    <t>90007572.SZ</t>
  </si>
  <si>
    <t>90007571.SZ</t>
  </si>
  <si>
    <t>90007570.SZ</t>
  </si>
  <si>
    <t>90007569.SZ</t>
  </si>
  <si>
    <t>90007568.SZ</t>
  </si>
  <si>
    <t>90007567.SZ</t>
  </si>
  <si>
    <t>90007566.SZ</t>
  </si>
  <si>
    <t>90007565.SZ</t>
  </si>
  <si>
    <t>90007621.SZ</t>
  </si>
  <si>
    <t>90007630.SZ</t>
  </si>
  <si>
    <t>90007629.SZ</t>
  </si>
  <si>
    <t>到期日</t>
    <phoneticPr fontId="5" type="noConversion"/>
  </si>
  <si>
    <t>Theta</t>
    <phoneticPr fontId="5" type="noConversion"/>
  </si>
  <si>
    <t>Vega</t>
    <phoneticPr fontId="5" type="noConversion"/>
  </si>
  <si>
    <t>Gamma</t>
    <phoneticPr fontId="5" type="noConversion"/>
  </si>
  <si>
    <t>Delta</t>
  </si>
  <si>
    <t>MIV</t>
  </si>
  <si>
    <t>IV</t>
  </si>
  <si>
    <t>持仓量</t>
  </si>
  <si>
    <t>成交量</t>
  </si>
  <si>
    <t>涨跌幅</t>
  </si>
  <si>
    <t>涨跌</t>
  </si>
  <si>
    <t>Ask</t>
    <phoneticPr fontId="5" type="noConversion"/>
  </si>
  <si>
    <t>Bid</t>
    <phoneticPr fontId="5" type="noConversion"/>
  </si>
  <si>
    <t>Mid</t>
    <phoneticPr fontId="5" type="noConversion"/>
  </si>
  <si>
    <t>最新价</t>
  </si>
  <si>
    <t>代码</t>
  </si>
  <si>
    <t>方向</t>
    <phoneticPr fontId="3" type="noConversion"/>
  </si>
  <si>
    <t>90007773.SZ</t>
  </si>
  <si>
    <t>90007774.SZ</t>
  </si>
  <si>
    <t>90007757.SZ</t>
  </si>
  <si>
    <t>90007697.SZ</t>
  </si>
  <si>
    <t>90007698.SZ</t>
  </si>
  <si>
    <t>90007699.SZ</t>
  </si>
  <si>
    <t>90007700.SZ</t>
  </si>
  <si>
    <t>90007701.SZ</t>
  </si>
  <si>
    <t>90007702.SZ</t>
  </si>
  <si>
    <t>90007703.SZ</t>
  </si>
  <si>
    <t>90007704.SZ</t>
  </si>
  <si>
    <t>90007705.SZ</t>
  </si>
  <si>
    <t>90007753.SZ</t>
  </si>
  <si>
    <t>90007323.SZ</t>
  </si>
  <si>
    <t>90007137.SZ</t>
  </si>
  <si>
    <t>90007069.SZ</t>
  </si>
  <si>
    <t>90007070.SZ</t>
  </si>
  <si>
    <t>90007071.SZ</t>
  </si>
  <si>
    <t>90007072.SZ</t>
  </si>
  <si>
    <t>90007073.SZ</t>
  </si>
  <si>
    <t>90007074.SZ</t>
  </si>
  <si>
    <t>90007075.SZ</t>
  </si>
  <si>
    <t>90007076.SZ</t>
  </si>
  <si>
    <t>90007077.SZ</t>
  </si>
  <si>
    <t>90007343.SZ</t>
  </si>
  <si>
    <t>90007351.SZ</t>
  </si>
  <si>
    <t>90007367.SZ</t>
  </si>
  <si>
    <t>90007387.SZ</t>
  </si>
  <si>
    <t>90007475.SZ</t>
  </si>
  <si>
    <t>90007503.SZ</t>
  </si>
  <si>
    <t>90007527.SZ</t>
  </si>
  <si>
    <t>90007543.SZ</t>
  </si>
  <si>
    <t>90007647.SZ</t>
  </si>
  <si>
    <t>90007657.SZ</t>
  </si>
  <si>
    <t>90007673.SZ</t>
  </si>
  <si>
    <t>90007485.SZ</t>
  </si>
  <si>
    <t>90007481.SZ</t>
  </si>
  <si>
    <t>90007411.SZ</t>
  </si>
  <si>
    <t>90007412.SZ</t>
  </si>
  <si>
    <t>90007413.SZ</t>
  </si>
  <si>
    <t>90007414.SZ</t>
  </si>
  <si>
    <t>90007415.SZ</t>
  </si>
  <si>
    <t>90007416.SZ</t>
  </si>
  <si>
    <t>90007417.SZ</t>
  </si>
  <si>
    <t>90007418.SZ</t>
  </si>
  <si>
    <t>90007419.SZ</t>
  </si>
  <si>
    <t>90007505.SZ</t>
  </si>
  <si>
    <t>90007529.SZ</t>
  </si>
  <si>
    <t>90007545.SZ</t>
  </si>
  <si>
    <t>90007649.SZ</t>
  </si>
  <si>
    <t>90007659.SZ</t>
  </si>
  <si>
    <t>90007675.SZ</t>
  </si>
  <si>
    <t>90007631.SZ</t>
  </si>
  <si>
    <t>90007632.SZ</t>
  </si>
  <si>
    <t>90007622.SZ</t>
  </si>
  <si>
    <t>90007574.SZ</t>
  </si>
  <si>
    <t>90007575.SZ</t>
  </si>
  <si>
    <t>90007576.SZ</t>
  </si>
  <si>
    <t>90007577.SZ</t>
  </si>
  <si>
    <t>90007578.SZ</t>
  </si>
  <si>
    <t>90007579.SZ</t>
  </si>
  <si>
    <t>90007580.SZ</t>
  </si>
  <si>
    <t>90007581.SZ</t>
  </si>
  <si>
    <t>90007582.SZ</t>
  </si>
  <si>
    <t>90007646.SZ</t>
  </si>
  <si>
    <t>90007656.SZ</t>
  </si>
  <si>
    <t>90007672.SZ</t>
  </si>
  <si>
    <t>90007775.SZ</t>
  </si>
  <si>
    <t>90007776.SZ</t>
  </si>
  <si>
    <t>90007758.SZ</t>
  </si>
  <si>
    <t>90007706.SZ</t>
  </si>
  <si>
    <t>90007707.SZ</t>
  </si>
  <si>
    <t>90007708.SZ</t>
  </si>
  <si>
    <t>90007709.SZ</t>
  </si>
  <si>
    <t>90007710.SZ</t>
  </si>
  <si>
    <t>90007711.SZ</t>
  </si>
  <si>
    <t>90007712.SZ</t>
  </si>
  <si>
    <t>90007713.SZ</t>
  </si>
  <si>
    <t>90007714.SZ</t>
  </si>
  <si>
    <t>90007754.SZ</t>
  </si>
  <si>
    <t>90007324.SZ</t>
  </si>
  <si>
    <t>90007138.SZ</t>
  </si>
  <si>
    <t>90007078.SZ</t>
  </si>
  <si>
    <t>90007079.SZ</t>
  </si>
  <si>
    <t>90007080.SZ</t>
  </si>
  <si>
    <t>90007081.SZ</t>
  </si>
  <si>
    <t>90007082.SZ</t>
  </si>
  <si>
    <t>90007083.SZ</t>
  </si>
  <si>
    <t>90007084.SZ</t>
  </si>
  <si>
    <t>90007085.SZ</t>
  </si>
  <si>
    <t>90007086.SZ</t>
  </si>
  <si>
    <t>90007344.SZ</t>
  </si>
  <si>
    <t>90007352.SZ</t>
  </si>
  <si>
    <t>90007368.SZ</t>
  </si>
  <si>
    <t>90007388.SZ</t>
  </si>
  <si>
    <t>90007476.SZ</t>
  </si>
  <si>
    <t>90007504.SZ</t>
  </si>
  <si>
    <t>90007528.SZ</t>
  </si>
  <si>
    <t>90007544.SZ</t>
  </si>
  <si>
    <t>90007648.SZ</t>
  </si>
  <si>
    <t>90007658.SZ</t>
  </si>
  <si>
    <t>90007674.SZ</t>
  </si>
  <si>
    <t>90007486.SZ</t>
  </si>
  <si>
    <t>90007482.SZ</t>
  </si>
  <si>
    <t>90007420.SZ</t>
  </si>
  <si>
    <t>90007421.SZ</t>
  </si>
  <si>
    <t>90007422.SZ</t>
  </si>
  <si>
    <t>90007423.SZ</t>
  </si>
  <si>
    <t>90007424.SZ</t>
  </si>
  <si>
    <t>90007425.SZ</t>
  </si>
  <si>
    <t>90007426.SZ</t>
  </si>
  <si>
    <t>90007427.SZ</t>
  </si>
  <si>
    <t>90007428.SZ</t>
  </si>
  <si>
    <t>90007506.SZ</t>
  </si>
  <si>
    <t>90007530.SZ</t>
  </si>
  <si>
    <t>90007546.SZ</t>
  </si>
  <si>
    <t>90007650.SZ</t>
  </si>
  <si>
    <t>90007660.SZ</t>
  </si>
  <si>
    <t>90007676.SZ</t>
  </si>
  <si>
    <t>保证金</t>
    <phoneticPr fontId="3" type="noConversion"/>
  </si>
  <si>
    <t>现券价格</t>
    <phoneticPr fontId="3" type="noConversion"/>
  </si>
  <si>
    <t>行权价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</si>
</sst>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"/>
    <numFmt numFmtId="177" formatCode="###,###,##0.0000"/>
  </numFmts>
  <fonts count="6" x14ac:knownFonts="1">
    <font>
      <sz val="11"/>
      <color theme="1"/>
      <name val="黑体"/>
      <family val="2"/>
      <charset val="134"/>
    </font>
    <font>
      <sz val="11"/>
      <color rgb="FFFF0000"/>
      <name val="黑体"/>
      <family val="2"/>
      <charset val="134"/>
    </font>
    <font>
      <sz val="11"/>
      <color theme="1"/>
      <name val="黑体"/>
      <family val="3"/>
      <charset val="134"/>
    </font>
    <font>
      <sz val="9"/>
      <name val="黑体"/>
      <family val="2"/>
      <charset val="134"/>
    </font>
    <font>
      <b/>
      <sz val="11"/>
      <color theme="1"/>
      <name val="黑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1" xfId="1" applyBorder="1">
      <alignment vertical="center"/>
    </xf>
    <xf numFmtId="176" fontId="2" fillId="0" borderId="0" xfId="1" applyNumberForma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>
      <alignment vertical="center"/>
    </xf>
    <xf numFmtId="177" fontId="1" fillId="0" borderId="1" xfId="0" applyNumberFormat="1" applyFont="1" applyBorder="1">
      <alignment vertical="center"/>
    </xf>
  </cellXfs>
  <cellStyles count="2">
    <cellStyle name="常规" xfId="0" builtinId="0"/>
    <cellStyle name="常规 2" xfId="1" xr:uid="{F8374D1C-61C5-4444-B5FD-671B7EAB1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0.46850000000000003</v>
        <stp/>
        <stp>90007699.SZ</stp>
        <stp>Delta</stp>
        <tr r="M22" s="2"/>
      </tp>
      <tp>
        <v>0.53590000000000004</v>
        <stp/>
        <stp>90007698.SZ</stp>
        <stp>Delta</stp>
        <tr r="M21" s="2"/>
      </tp>
      <tp>
        <v>0.60389999999999999</v>
        <stp/>
        <stp>90007697.SZ</stp>
        <stp>Delta</stp>
        <tr r="M20" s="2"/>
      </tp>
      <tp>
        <v>0.4456</v>
        <stp/>
        <stp>90007324.SZ</stp>
        <stp>rt_miv</stp>
        <stp>RT_Price</stp>
        <tr r="L97" s="2"/>
      </tp>
      <tp>
        <v>0.2908</v>
        <stp/>
        <stp>90007323.SZ</stp>
        <stp>rt_miv</stp>
        <stp>RT_Price</stp>
        <tr r="L30" s="2"/>
      </tp>
      <tp>
        <v>0.37970000000000004</v>
        <stp/>
        <stp>90007351.SZ</stp>
        <stp>rt_miv</stp>
        <stp>RT_Price</stp>
        <tr r="L42" s="2"/>
      </tp>
      <tp>
        <v>0.38700000000000001</v>
        <stp/>
        <stp>90007352.SZ</stp>
        <stp>rt_miv</stp>
        <stp>RT_Price</stp>
        <tr r="L109" s="2"/>
      </tp>
      <tp>
        <v>0.38970000000000005</v>
        <stp/>
        <stp>90007344.SZ</stp>
        <stp>rt_miv</stp>
        <stp>RT_Price</stp>
        <tr r="L108" s="2"/>
      </tp>
      <tp>
        <v>0.3881</v>
        <stp/>
        <stp>90007343.SZ</stp>
        <stp>rt_miv</stp>
        <stp>RT_Price</stp>
        <tr r="L41" s="2"/>
      </tp>
      <tp>
        <v>0.38800000000000001</v>
        <stp/>
        <stp>90007367.SZ</stp>
        <stp>rt_miv</stp>
        <stp>RT_Price</stp>
        <tr r="L43" s="2"/>
      </tp>
      <tp>
        <v>0.3871</v>
        <stp/>
        <stp>90007368.SZ</stp>
        <stp>rt_miv</stp>
        <stp>RT_Price</stp>
        <tr r="L110" s="2"/>
      </tp>
      <tp>
        <v>0.39269999999999999</v>
        <stp/>
        <stp>90007387.SZ</stp>
        <stp>rt_miv</stp>
        <stp>RT_Price</stp>
        <tr r="L44" s="2"/>
      </tp>
      <tp>
        <v>0.39530000000000004</v>
        <stp/>
        <stp>90007388.SZ</stp>
        <stp>rt_miv</stp>
        <stp>RT_Price</stp>
        <tr r="L111" s="2"/>
      </tp>
      <tp>
        <v>0.38830000000000003</v>
        <stp/>
        <stp>90007075.SZ</stp>
        <stp>rt_miv</stp>
        <stp>RT_Price</stp>
        <tr r="L38" s="2"/>
      </tp>
      <tp>
        <v>0.40500000000000003</v>
        <stp/>
        <stp>90007074.SZ</stp>
        <stp>rt_miv</stp>
        <stp>RT_Price</stp>
        <tr r="L37" s="2"/>
      </tp>
      <tp>
        <v>0.38159999999999999</v>
        <stp/>
        <stp>90007077.SZ</stp>
        <stp>rt_miv</stp>
        <stp>RT_Price</stp>
        <tr r="L40" s="2"/>
      </tp>
      <tp>
        <v>0.38730000000000003</v>
        <stp/>
        <stp>90007076.SZ</stp>
        <stp>rt_miv</stp>
        <stp>RT_Price</stp>
        <tr r="L39" s="2"/>
      </tp>
      <tp>
        <v>0.42310000000000003</v>
        <stp/>
        <stp>90007071.SZ</stp>
        <stp>rt_miv</stp>
        <stp>RT_Price</stp>
        <tr r="L34" s="2"/>
      </tp>
      <tp>
        <v>0.40340000000000004</v>
        <stp/>
        <stp>90007070.SZ</stp>
        <stp>rt_miv</stp>
        <stp>RT_Price</stp>
        <tr r="L33" s="2"/>
      </tp>
      <tp>
        <v>0.38930000000000003</v>
        <stp/>
        <stp>90007073.SZ</stp>
        <stp>rt_miv</stp>
        <stp>RT_Price</stp>
        <tr r="L36" s="2"/>
      </tp>
      <tp>
        <v>0.3866</v>
        <stp/>
        <stp>90007072.SZ</stp>
        <stp>rt_miv</stp>
        <stp>RT_Price</stp>
        <tr r="L35" s="2"/>
      </tp>
      <tp>
        <v>0.4345</v>
        <stp/>
        <stp>90007079.SZ</stp>
        <stp>rt_miv</stp>
        <stp>RT_Price</stp>
        <tr r="L100" s="2"/>
      </tp>
      <tp>
        <v>0.43930000000000002</v>
        <stp/>
        <stp>90007078.SZ</stp>
        <stp>rt_miv</stp>
        <stp>RT_Price</stp>
        <tr r="L99" s="2"/>
      </tp>
      <tp>
        <v>0.40100000000000002</v>
        <stp/>
        <stp>90007069.SZ</stp>
        <stp>rt_miv</stp>
        <stp>RT_Price</stp>
        <tr r="L32" s="2"/>
      </tp>
      <tp>
        <v>0.3972</v>
        <stp/>
        <stp>90007085.SZ</stp>
        <stp>rt_miv</stp>
        <stp>RT_Price</stp>
        <tr r="L106" s="2"/>
      </tp>
      <tp>
        <v>0.39950000000000002</v>
        <stp/>
        <stp>90007084.SZ</stp>
        <stp>rt_miv</stp>
        <stp>RT_Price</stp>
        <tr r="L105" s="2"/>
      </tp>
      <tp>
        <v>0.39100000000000001</v>
        <stp/>
        <stp>90007086.SZ</stp>
        <stp>rt_miv</stp>
        <stp>RT_Price</stp>
        <tr r="L107" s="2"/>
      </tp>
      <tp>
        <v>0.41560000000000002</v>
        <stp/>
        <stp>90007081.SZ</stp>
        <stp>rt_miv</stp>
        <stp>RT_Price</stp>
        <tr r="L102" s="2"/>
      </tp>
      <tp>
        <v>0.4249</v>
        <stp/>
        <stp>90007080.SZ</stp>
        <stp>rt_miv</stp>
        <stp>RT_Price</stp>
        <tr r="L101" s="2"/>
      </tp>
      <tp>
        <v>0.40410000000000001</v>
        <stp/>
        <stp>90007083.SZ</stp>
        <stp>rt_miv</stp>
        <stp>RT_Price</stp>
        <tr r="L104" s="2"/>
      </tp>
      <tp>
        <v>0.4103</v>
        <stp/>
        <stp>90007082.SZ</stp>
        <stp>rt_miv</stp>
        <stp>RT_Price</stp>
        <tr r="L103" s="2"/>
      </tp>
      <tp>
        <v>0.39300000000000002</v>
        <stp/>
        <stp>90007137.SZ</stp>
        <stp>rt_miv</stp>
        <stp>RT_Price</stp>
        <tr r="L31" s="2"/>
      </tp>
      <tp>
        <v>0.44030000000000002</v>
        <stp/>
        <stp>90007138.SZ</stp>
        <stp>rt_miv</stp>
        <stp>RT_Price</stp>
        <tr r="L98" s="2"/>
      </tp>
      <tp>
        <v>0.43670000000000003</v>
        <stp/>
        <stp>90007631.SZ</stp>
        <stp>rt_miv</stp>
        <stp>RT_Price</stp>
        <tr r="L69" s="2"/>
      </tp>
      <tp>
        <v>0.4773</v>
        <stp/>
        <stp>90007630.SZ</stp>
        <stp>rt_miv</stp>
        <stp>RT_Price</stp>
        <tr r="L3" s="2"/>
      </tp>
      <tp>
        <v>0.42150000000000004</v>
        <stp/>
        <stp>90007632.SZ</stp>
        <stp>rt_miv</stp>
        <stp>RT_Price</stp>
        <tr r="L70" s="2"/>
      </tp>
      <tp>
        <v>0.41250000000000003</v>
        <stp/>
        <stp>90007621.SZ</stp>
        <stp>rt_miv</stp>
        <stp>RT_Price</stp>
        <tr r="L4" s="2"/>
      </tp>
      <tp>
        <v>0.40650000000000003</v>
        <stp/>
        <stp>90007622.SZ</stp>
        <stp>rt_miv</stp>
        <stp>RT_Price</stp>
        <tr r="L71" s="2"/>
      </tp>
      <tp>
        <v>0.42410000000000003</v>
        <stp/>
        <stp>90007629.SZ</stp>
        <stp>rt_miv</stp>
        <stp>RT_Price</stp>
        <tr r="L2" s="2"/>
      </tp>
      <tp>
        <v>0.51519999999999999</v>
        <stp/>
        <stp>90007655.SZ</stp>
        <stp>rt_miv</stp>
        <stp>RT_Price</stp>
        <tr r="L15" s="2"/>
      </tp>
      <tp>
        <v>0.41550000000000004</v>
        <stp/>
        <stp>90007657.SZ</stp>
        <stp>rt_miv</stp>
        <stp>RT_Price</stp>
        <tr r="L50" s="2"/>
      </tp>
      <tp>
        <v>0.46880000000000005</v>
        <stp/>
        <stp>90007656.SZ</stp>
        <stp>rt_miv</stp>
        <stp>RT_Price</stp>
        <tr r="L82" s="2"/>
      </tp>
      <tp>
        <v>0.39740000000000003</v>
        <stp/>
        <stp>90007650.SZ</stp>
        <stp>rt_miv</stp>
        <stp>RT_Price</stp>
        <tr r="L133" s="2"/>
      </tp>
      <tp>
        <v>0.40040000000000003</v>
        <stp/>
        <stp>90007659.SZ</stp>
        <stp>rt_miv</stp>
        <stp>RT_Price</stp>
        <tr r="L67" s="2"/>
      </tp>
      <tp>
        <v>0.42270000000000002</v>
        <stp/>
        <stp>90007658.SZ</stp>
        <stp>rt_miv</stp>
        <stp>RT_Price</stp>
        <tr r="L117" s="2"/>
      </tp>
      <tp>
        <v>0.48570000000000002</v>
        <stp/>
        <stp>90007645.SZ</stp>
        <stp>rt_miv</stp>
        <stp>RT_Price</stp>
        <tr r="L14" s="2"/>
      </tp>
      <tp>
        <v>0.40990000000000004</v>
        <stp/>
        <stp>90007647.SZ</stp>
        <stp>rt_miv</stp>
        <stp>RT_Price</stp>
        <tr r="L49" s="2"/>
      </tp>
      <tp>
        <v>0.48480000000000001</v>
        <stp/>
        <stp>90007646.SZ</stp>
        <stp>rt_miv</stp>
        <stp>RT_Price</stp>
        <tr r="L81" s="2"/>
      </tp>
      <tp>
        <v>0.39740000000000003</v>
        <stp/>
        <stp>90007649.SZ</stp>
        <stp>rt_miv</stp>
        <stp>RT_Price</stp>
        <tr r="L66" s="2"/>
      </tp>
      <tp>
        <v>0.41739999999999999</v>
        <stp/>
        <stp>90007648.SZ</stp>
        <stp>rt_miv</stp>
        <stp>RT_Price</stp>
        <tr r="L116" s="2"/>
      </tp>
      <tp>
        <v>0.40200000000000002</v>
        <stp/>
        <stp>90007675.SZ</stp>
        <stp>rt_miv</stp>
        <stp>RT_Price</stp>
        <tr r="L68" s="2"/>
      </tp>
      <tp>
        <v>0.42920000000000003</v>
        <stp/>
        <stp>90007674.SZ</stp>
        <stp>rt_miv</stp>
        <stp>RT_Price</stp>
        <tr r="L118" s="2"/>
      </tp>
      <tp>
        <v>0.40150000000000002</v>
        <stp/>
        <stp>90007676.SZ</stp>
        <stp>rt_miv</stp>
        <stp>RT_Price</stp>
        <tr r="L135" s="2"/>
      </tp>
      <tp>
        <v>0.52810000000000001</v>
        <stp/>
        <stp>90007671.SZ</stp>
        <stp>rt_miv</stp>
        <stp>RT_Price</stp>
        <tr r="L16" s="2"/>
      </tp>
      <tp>
        <v>0.42060000000000003</v>
        <stp/>
        <stp>90007673.SZ</stp>
        <stp>rt_miv</stp>
        <stp>RT_Price</stp>
        <tr r="L51" s="2"/>
      </tp>
      <tp>
        <v>0.52250000000000008</v>
        <stp/>
        <stp>90007672.SZ</stp>
        <stp>rt_miv</stp>
        <stp>RT_Price</stp>
        <tr r="L83" s="2"/>
      </tp>
      <tp>
        <v>0.39940000000000003</v>
        <stp/>
        <stp>90007660.SZ</stp>
        <stp>rt_miv</stp>
        <stp>RT_Price</stp>
        <tr r="L134" s="2"/>
      </tp>
      <tp>
        <v>0.3841</v>
        <stp/>
        <stp>90007697.SZ</stp>
        <stp>rt_miv</stp>
        <stp>RT_Price</stp>
        <tr r="L20" s="2"/>
      </tp>
      <tp>
        <v>0.38980000000000004</v>
        <stp/>
        <stp>90007699.SZ</stp>
        <stp>rt_miv</stp>
        <stp>RT_Price</stp>
        <tr r="L22" s="2"/>
      </tp>
      <tp>
        <v>0.39100000000000001</v>
        <stp/>
        <stp>90007698.SZ</stp>
        <stp>rt_miv</stp>
        <stp>RT_Price</stp>
        <tr r="L21" s="2"/>
      </tp>
      <tp>
        <v>0.40679999999999999</v>
        <stp/>
        <stp>90007714.SZ</stp>
        <stp>rt_miv</stp>
        <stp>RT_Price</stp>
        <tr r="L95" s="2"/>
      </tp>
      <tp>
        <v>0.4027</v>
        <stp/>
        <stp>90007711.SZ</stp>
        <stp>rt_miv</stp>
        <stp>RT_Price</stp>
        <tr r="L92" s="2"/>
      </tp>
      <tp>
        <v>0.39600000000000002</v>
        <stp/>
        <stp>90007710.SZ</stp>
        <stp>rt_miv</stp>
        <stp>RT_Price</stp>
        <tr r="L91" s="2"/>
      </tp>
      <tp>
        <v>0.39230000000000004</v>
        <stp/>
        <stp>90007713.SZ</stp>
        <stp>rt_miv</stp>
        <stp>RT_Price</stp>
        <tr r="L94" s="2"/>
      </tp>
      <tp>
        <v>0.40010000000000001</v>
        <stp/>
        <stp>90007712.SZ</stp>
        <stp>rt_miv</stp>
        <stp>RT_Price</stp>
        <tr r="L93" s="2"/>
      </tp>
      <tp>
        <v>0.4042</v>
        <stp/>
        <stp>90007705.SZ</stp>
        <stp>rt_miv</stp>
        <stp>RT_Price</stp>
        <tr r="L28" s="2"/>
      </tp>
      <tp>
        <v>0.40050000000000002</v>
        <stp/>
        <stp>90007704.SZ</stp>
        <stp>rt_miv</stp>
        <stp>RT_Price</stp>
        <tr r="L27" s="2"/>
      </tp>
      <tp>
        <v>0.39119999999999999</v>
        <stp/>
        <stp>90007707.SZ</stp>
        <stp>rt_miv</stp>
        <stp>RT_Price</stp>
        <tr r="L88" s="2"/>
      </tp>
      <tp>
        <v>0.38800000000000001</v>
        <stp/>
        <stp>90007706.SZ</stp>
        <stp>rt_miv</stp>
        <stp>RT_Price</stp>
        <tr r="L87" s="2"/>
      </tp>
      <tp>
        <v>0.39240000000000003</v>
        <stp/>
        <stp>90007701.SZ</stp>
        <stp>rt_miv</stp>
        <stp>RT_Price</stp>
        <tr r="L24" s="2"/>
      </tp>
      <tp>
        <v>0.39190000000000003</v>
        <stp/>
        <stp>90007700.SZ</stp>
        <stp>rt_miv</stp>
        <stp>RT_Price</stp>
        <tr r="L23" s="2"/>
      </tp>
      <tp>
        <v>0.39550000000000002</v>
        <stp/>
        <stp>90007703.SZ</stp>
        <stp>rt_miv</stp>
        <stp>RT_Price</stp>
        <tr r="L26" s="2"/>
      </tp>
      <tp>
        <v>0.39490000000000003</v>
        <stp/>
        <stp>90007702.SZ</stp>
        <stp>rt_miv</stp>
        <stp>RT_Price</stp>
        <tr r="L25" s="2"/>
      </tp>
      <tp>
        <v>0.3972</v>
        <stp/>
        <stp>90007709.SZ</stp>
        <stp>rt_miv</stp>
        <stp>RT_Price</stp>
        <tr r="L90" s="2"/>
      </tp>
      <tp>
        <v>0.38740000000000002</v>
        <stp/>
        <stp>90007708.SZ</stp>
        <stp>rt_miv</stp>
        <stp>RT_Price</stp>
        <tr r="L89" s="2"/>
      </tp>
      <tp>
        <v>0.4108</v>
        <stp/>
        <stp>90007754.SZ</stp>
        <stp>rt_miv</stp>
        <stp>RT_Price</stp>
        <tr r="L96" s="2"/>
      </tp>
      <tp>
        <v>0.38890000000000002</v>
        <stp/>
        <stp>90007757.SZ</stp>
        <stp>rt_miv</stp>
        <stp>RT_Price</stp>
        <tr r="L19" s="2"/>
      </tp>
      <tp>
        <v>0.40850000000000003</v>
        <stp/>
        <stp>90007753.SZ</stp>
        <stp>rt_miv</stp>
        <stp>RT_Price</stp>
        <tr r="L29" s="2"/>
      </tp>
      <tp>
        <v>0.38880000000000003</v>
        <stp/>
        <stp>90007758.SZ</stp>
        <stp>rt_miv</stp>
        <stp>RT_Price</stp>
        <tr r="L86" s="2"/>
      </tp>
      <tp>
        <v>0.39610000000000001</v>
        <stp/>
        <stp>90007775.SZ</stp>
        <stp>rt_miv</stp>
        <stp>RT_Price</stp>
        <tr r="L84" s="2"/>
      </tp>
      <tp>
        <v>0.38250000000000001</v>
        <stp/>
        <stp>90007774.SZ</stp>
        <stp>rt_miv</stp>
        <stp>RT_Price</stp>
        <tr r="L18" s="2"/>
      </tp>
      <tp>
        <v>0.39610000000000001</v>
        <stp/>
        <stp>90007776.SZ</stp>
        <stp>rt_miv</stp>
        <stp>RT_Price</stp>
        <tr r="L85" s="2"/>
      </tp>
      <tp>
        <v>0.38530000000000003</v>
        <stp/>
        <stp>90007773.SZ</stp>
        <stp>rt_miv</stp>
        <stp>RT_Price</stp>
        <tr r="L17" s="2"/>
      </tp>
      <tp>
        <v>0.39280000000000004</v>
        <stp/>
        <stp>90007415.SZ</stp>
        <stp>rt_miv</stp>
        <stp>RT_Price</stp>
        <tr r="L58" s="2"/>
      </tp>
      <tp>
        <v>0.39960000000000001</v>
        <stp/>
        <stp>90007414.SZ</stp>
        <stp>rt_miv</stp>
        <stp>RT_Price</stp>
        <tr r="L57" s="2"/>
      </tp>
      <tp>
        <v>0.39330000000000004</v>
        <stp/>
        <stp>90007417.SZ</stp>
        <stp>rt_miv</stp>
        <stp>RT_Price</stp>
        <tr r="L60" s="2"/>
      </tp>
      <tp>
        <v>0.38880000000000003</v>
        <stp/>
        <stp>90007416.SZ</stp>
        <stp>rt_miv</stp>
        <stp>RT_Price</stp>
        <tr r="L59" s="2"/>
      </tp>
      <tp>
        <v>0.39230000000000004</v>
        <stp/>
        <stp>90007411.SZ</stp>
        <stp>rt_miv</stp>
        <stp>RT_Price</stp>
        <tr r="L54" s="2"/>
      </tp>
      <tp>
        <v>0.39640000000000003</v>
        <stp/>
        <stp>90007413.SZ</stp>
        <stp>rt_miv</stp>
        <stp>RT_Price</stp>
        <tr r="L56" s="2"/>
      </tp>
      <tp>
        <v>0.38990000000000002</v>
        <stp/>
        <stp>90007412.SZ</stp>
        <stp>rt_miv</stp>
        <stp>RT_Price</stp>
        <tr r="L55" s="2"/>
      </tp>
      <tp>
        <v>0.38870000000000005</v>
        <stp/>
        <stp>90007419.SZ</stp>
        <stp>rt_miv</stp>
        <stp>RT_Price</stp>
        <tr r="L62" s="2"/>
      </tp>
      <tp>
        <v>0.3926</v>
        <stp/>
        <stp>90007418.SZ</stp>
        <stp>rt_miv</stp>
        <stp>RT_Price</stp>
        <tr r="L61" s="2"/>
      </tp>
      <tp>
        <v>0.39219999999999999</v>
        <stp/>
        <stp>90007425.SZ</stp>
        <stp>rt_miv</stp>
        <stp>RT_Price</stp>
        <tr r="L126" s="2"/>
      </tp>
      <tp>
        <v>0.39240000000000003</v>
        <stp/>
        <stp>90007424.SZ</stp>
        <stp>rt_miv</stp>
        <stp>RT_Price</stp>
        <tr r="L125" s="2"/>
      </tp>
      <tp>
        <v>0.39400000000000002</v>
        <stp/>
        <stp>90007427.SZ</stp>
        <stp>rt_miv</stp>
        <stp>RT_Price</stp>
        <tr r="L128" s="2"/>
      </tp>
      <tp>
        <v>0.38990000000000002</v>
        <stp/>
        <stp>90007426.SZ</stp>
        <stp>rt_miv</stp>
        <stp>RT_Price</stp>
        <tr r="L127" s="2"/>
      </tp>
      <tp>
        <v>0.40260000000000001</v>
        <stp/>
        <stp>90007421.SZ</stp>
        <stp>rt_miv</stp>
        <stp>RT_Price</stp>
        <tr r="L122" s="2"/>
      </tp>
      <tp>
        <v>0.40160000000000001</v>
        <stp/>
        <stp>90007420.SZ</stp>
        <stp>rt_miv</stp>
        <stp>RT_Price</stp>
        <tr r="L121" s="2"/>
      </tp>
      <tp>
        <v>0.39890000000000003</v>
        <stp/>
        <stp>90007423.SZ</stp>
        <stp>rt_miv</stp>
        <stp>RT_Price</stp>
        <tr r="L124" s="2"/>
      </tp>
      <tp>
        <v>0.39980000000000004</v>
        <stp/>
        <stp>90007422.SZ</stp>
        <stp>rt_miv</stp>
        <stp>RT_Price</stp>
        <tr r="L123" s="2"/>
      </tp>
      <tp>
        <v>0.39250000000000002</v>
        <stp/>
        <stp>90007428.SZ</stp>
        <stp>rt_miv</stp>
        <stp>RT_Price</stp>
        <tr r="L129" s="2"/>
      </tp>
      <tp>
        <v>0.39560000000000001</v>
        <stp/>
        <stp>90007475.SZ</stp>
        <stp>rt_miv</stp>
        <stp>RT_Price</stp>
        <tr r="L45" s="2"/>
      </tp>
      <tp>
        <v>0.3982</v>
        <stp/>
        <stp>90007476.SZ</stp>
        <stp>rt_miv</stp>
        <stp>RT_Price</stp>
        <tr r="L112" s="2"/>
      </tp>
      <tp>
        <v>0.40010000000000001</v>
        <stp/>
        <stp>90007485.SZ</stp>
        <stp>rt_miv</stp>
        <stp>RT_Price</stp>
        <tr r="L52" s="2"/>
      </tp>
      <tp>
        <v>0.41570000000000001</v>
        <stp/>
        <stp>90007486.SZ</stp>
        <stp>rt_miv</stp>
        <stp>RT_Price</stp>
        <tr r="L119" s="2"/>
      </tp>
      <tp>
        <v>0.40629999999999999</v>
        <stp/>
        <stp>90007481.SZ</stp>
        <stp>rt_miv</stp>
        <stp>RT_Price</stp>
        <tr r="L53" s="2"/>
      </tp>
      <tp>
        <v>0.4083</v>
        <stp/>
        <stp>90007482.SZ</stp>
        <stp>rt_miv</stp>
        <stp>RT_Price</stp>
        <tr r="L120" s="2"/>
      </tp>
      <tp>
        <v>0.39280000000000004</v>
        <stp/>
        <stp>90007505.SZ</stp>
        <stp>rt_miv</stp>
        <stp>RT_Price</stp>
        <tr r="L63" s="2"/>
      </tp>
      <tp>
        <v>0.40050000000000002</v>
        <stp/>
        <stp>90007504.SZ</stp>
        <stp>rt_miv</stp>
        <stp>RT_Price</stp>
        <tr r="L113" s="2"/>
      </tp>
      <tp>
        <v>0.39640000000000003</v>
        <stp/>
        <stp>90007506.SZ</stp>
        <stp>rt_miv</stp>
        <stp>RT_Price</stp>
        <tr r="L130" s="2"/>
      </tp>
      <tp>
        <v>0.3977</v>
        <stp/>
        <stp>90007503.SZ</stp>
        <stp>rt_miv</stp>
        <stp>RT_Price</stp>
        <tr r="L46" s="2"/>
      </tp>
      <tp>
        <v>0.39440000000000003</v>
        <stp/>
        <stp>90007530.SZ</stp>
        <stp>rt_miv</stp>
        <stp>RT_Price</stp>
        <tr r="L131" s="2"/>
      </tp>
      <tp>
        <v>0.40090000000000003</v>
        <stp/>
        <stp>90007527.SZ</stp>
        <stp>rt_miv</stp>
        <stp>RT_Price</stp>
        <tr r="L47" s="2"/>
      </tp>
      <tp>
        <v>0.39190000000000003</v>
        <stp/>
        <stp>90007529.SZ</stp>
        <stp>rt_miv</stp>
        <stp>RT_Price</stp>
        <tr r="L64" s="2"/>
      </tp>
      <tp>
        <v>0.40670000000000001</v>
        <stp/>
        <stp>90007528.SZ</stp>
        <stp>rt_miv</stp>
        <stp>RT_Price</stp>
        <tr r="L114" s="2"/>
      </tp>
      <tp>
        <v>0.39230000000000004</v>
        <stp/>
        <stp>90007545.SZ</stp>
        <stp>rt_miv</stp>
        <stp>RT_Price</stp>
        <tr r="L65" s="2"/>
      </tp>
      <tp>
        <v>0.41450000000000004</v>
        <stp/>
        <stp>90007544.SZ</stp>
        <stp>rt_miv</stp>
        <stp>RT_Price</stp>
        <tr r="L115" s="2"/>
      </tp>
      <tp>
        <v>0.39590000000000003</v>
        <stp/>
        <stp>90007546.SZ</stp>
        <stp>rt_miv</stp>
        <stp>RT_Price</stp>
        <tr r="L132" s="2"/>
      </tp>
      <tp>
        <v>0.40190000000000003</v>
        <stp/>
        <stp>90007543.SZ</stp>
        <stp>rt_miv</stp>
        <stp>RT_Price</stp>
        <tr r="L48" s="2"/>
      </tp>
      <tp>
        <v>0.39800000000000002</v>
        <stp/>
        <stp>90007575.SZ</stp>
        <stp>rt_miv</stp>
        <stp>RT_Price</stp>
        <tr r="L73" s="2"/>
      </tp>
      <tp>
        <v>0.40240000000000004</v>
        <stp/>
        <stp>90007574.SZ</stp>
        <stp>rt_miv</stp>
        <stp>RT_Price</stp>
        <tr r="L72" s="2"/>
      </tp>
      <tp>
        <v>0.3982</v>
        <stp/>
        <stp>90007577.SZ</stp>
        <stp>rt_miv</stp>
        <stp>RT_Price</stp>
        <tr r="L75" s="2"/>
      </tp>
      <tp>
        <v>0.39480000000000004</v>
        <stp/>
        <stp>90007576.SZ</stp>
        <stp>rt_miv</stp>
        <stp>RT_Price</stp>
        <tr r="L74" s="2"/>
      </tp>
      <tp>
        <v>0.43470000000000003</v>
        <stp/>
        <stp>90007571.SZ</stp>
        <stp>rt_miv</stp>
        <stp>RT_Price</stp>
        <tr r="L11" s="2"/>
      </tp>
      <tp>
        <v>0.41820000000000002</v>
        <stp/>
        <stp>90007570.SZ</stp>
        <stp>rt_miv</stp>
        <stp>RT_Price</stp>
        <tr r="L10" s="2"/>
      </tp>
      <tp>
        <v>0.47490000000000004</v>
        <stp/>
        <stp>90007573.SZ</stp>
        <stp>rt_miv</stp>
        <stp>RT_Price</stp>
        <tr r="L13" s="2"/>
      </tp>
      <tp>
        <v>0.45150000000000001</v>
        <stp/>
        <stp>90007572.SZ</stp>
        <stp>rt_miv</stp>
        <stp>RT_Price</stp>
        <tr r="L12" s="2"/>
      </tp>
      <tp>
        <v>0.42100000000000004</v>
        <stp/>
        <stp>90007579.SZ</stp>
        <stp>rt_miv</stp>
        <stp>RT_Price</stp>
        <tr r="L77" s="2"/>
      </tp>
      <tp>
        <v>0.4088</v>
        <stp/>
        <stp>90007578.SZ</stp>
        <stp>rt_miv</stp>
        <stp>RT_Price</stp>
        <tr r="L76" s="2"/>
      </tp>
      <tp>
        <v>0.39890000000000003</v>
        <stp/>
        <stp>90007565.SZ</stp>
        <stp>rt_miv</stp>
        <stp>RT_Price</stp>
        <tr r="L5" s="2"/>
      </tp>
      <tp>
        <v>0.39750000000000002</v>
        <stp/>
        <stp>90007567.SZ</stp>
        <stp>rt_miv</stp>
        <stp>RT_Price</stp>
        <tr r="L7" s="2"/>
      </tp>
      <tp>
        <v>0.38970000000000005</v>
        <stp/>
        <stp>90007566.SZ</stp>
        <stp>rt_miv</stp>
        <stp>RT_Price</stp>
        <tr r="L6" s="2"/>
      </tp>
      <tp>
        <v>0.40720000000000001</v>
        <stp/>
        <stp>90007569.SZ</stp>
        <stp>rt_miv</stp>
        <stp>RT_Price</stp>
        <tr r="L9" s="2"/>
      </tp>
      <tp>
        <v>0.39980000000000004</v>
        <stp/>
        <stp>90007568.SZ</stp>
        <stp>rt_miv</stp>
        <stp>RT_Price</stp>
        <tr r="L8" s="2"/>
      </tp>
      <tp>
        <v>0.47340000000000004</v>
        <stp/>
        <stp>90007581.SZ</stp>
        <stp>rt_miv</stp>
        <stp>RT_Price</stp>
        <tr r="L79" s="2"/>
      </tp>
      <tp>
        <v>0.44830000000000003</v>
        <stp/>
        <stp>90007580.SZ</stp>
        <stp>rt_miv</stp>
        <stp>RT_Price</stp>
        <tr r="L78" s="2"/>
      </tp>
      <tp>
        <v>0.46850000000000003</v>
        <stp/>
        <stp>90007582.SZ</stp>
        <stp>rt_miv</stp>
        <stp>RT_Price</stp>
        <tr r="L80" s="2"/>
      </tp>
    </main>
    <main first="wdf.rtq">
      <tp>
        <v>-0.52310000000000001</v>
        <stp/>
        <stp>90007388.SZ</stp>
        <stp>Delta</stp>
        <tr r="M111" s="2"/>
      </tp>
      <tp>
        <v>0.4743</v>
        <stp/>
        <stp>90007387.SZ</stp>
        <stp>Delta</stp>
        <tr r="M44" s="2"/>
      </tp>
    </main>
    <main first="wdf.rtq">
      <tp>
        <v>-0.30910000000000004</v>
        <stp/>
        <stp>90007086.SZ</stp>
        <stp>Delta</stp>
        <tr r="M107" s="2"/>
      </tp>
      <tp>
        <v>-0.19460000000000002</v>
        <stp/>
        <stp>90007486.SZ</stp>
        <stp>Delta</stp>
        <tr r="M119" s="2"/>
      </tp>
    </main>
    <main first="wdf.rtq">
      <tp>
        <v>-0.2606</v>
        <stp/>
        <stp>90007085.SZ</stp>
        <stp>Delta</stp>
        <tr r="M106" s="2"/>
      </tp>
      <tp>
        <v>0.80470000000000008</v>
        <stp/>
        <stp>90007485.SZ</stp>
        <stp>Delta</stp>
        <tr r="M52" s="2"/>
      </tp>
      <tp>
        <v>-0.21480000000000002</v>
        <stp/>
        <stp>90007084.SZ</stp>
        <stp>Delta</stp>
        <tr r="M105" s="2"/>
      </tp>
      <tp>
        <v>-0.17470000000000002</v>
        <stp/>
        <stp>90007083.SZ</stp>
        <stp>Delta</stp>
        <tr r="M104" s="2"/>
      </tp>
      <tp>
        <v>-0.1399</v>
        <stp/>
        <stp>90007082.SZ</stp>
        <stp>Delta</stp>
        <tr r="M103" s="2"/>
      </tp>
      <tp>
        <v>-0.88109999999999999</v>
        <stp/>
        <stp>90007582.SZ</stp>
        <stp>Delta</stp>
        <tr r="M80" s="2"/>
      </tp>
      <tp>
        <v>-0.2218</v>
        <stp/>
        <stp>90007482.SZ</stp>
        <stp>Delta</stp>
        <tr r="M120" s="2"/>
      </tp>
    </main>
    <main first="wdf.rtq">
      <tp>
        <v>-0.111</v>
        <stp/>
        <stp>90007081.SZ</stp>
        <stp>Delta</stp>
        <tr r="M102" s="2"/>
      </tp>
      <tp>
        <v>-0.83360000000000001</v>
        <stp/>
        <stp>90007581.SZ</stp>
        <stp>Delta</stp>
        <tr r="M79" s="2"/>
      </tp>
      <tp>
        <v>0.77050000000000007</v>
        <stp/>
        <stp>90007481.SZ</stp>
        <stp>Delta</stp>
        <tr r="M53" s="2"/>
      </tp>
      <tp>
        <v>-8.7100000000000011E-2</v>
        <stp/>
        <stp>90007080.SZ</stp>
        <stp>Delta</stp>
        <tr r="M101" s="2"/>
      </tp>
      <tp>
        <v>-0.75940000000000007</v>
        <stp/>
        <stp>90007580.SZ</stp>
        <stp>Delta</stp>
        <tr r="M78" s="2"/>
      </tp>
    </main>
    <main first="wdf.rtq">
      <tp>
        <v>-6.7900000000000002E-2</v>
        <stp/>
        <stp>90007079.SZ</stp>
        <stp>Delta</stp>
        <tr r="M100" s="2"/>
      </tp>
      <tp>
        <v>-0.67590000000000006</v>
        <stp/>
        <stp>90007579.SZ</stp>
        <stp>Delta</stp>
        <tr r="M77" s="2"/>
      </tp>
    </main>
    <main first="wdf.rtq">
      <tp>
        <v>-6.0100000000000001E-2</v>
        <stp/>
        <stp>90007078.SZ</stp>
        <stp>Delta</stp>
        <tr r="M99" s="2"/>
      </tp>
      <tp>
        <v>-0.56640000000000001</v>
        <stp/>
        <stp>90007578.SZ</stp>
        <stp>Delta</stp>
        <tr r="M76" s="2"/>
      </tp>
      <tp>
        <v>0.6855</v>
        <stp/>
        <stp>90007077.SZ</stp>
        <stp>Delta</stp>
        <tr r="M40" s="2"/>
      </tp>
      <tp>
        <v>-0.4415</v>
        <stp/>
        <stp>90007577.SZ</stp>
        <stp>Delta</stp>
        <tr r="M75" s="2"/>
      </tp>
      <tp>
        <v>0.73240000000000005</v>
        <stp/>
        <stp>90007076.SZ</stp>
        <stp>Delta</stp>
        <tr r="M39" s="2"/>
      </tp>
      <tp>
        <v>-0.3155</v>
        <stp/>
        <stp>90007576.SZ</stp>
        <stp>Delta</stp>
        <tr r="M74" s="2"/>
      </tp>
      <tp>
        <v>-0.57510000000000006</v>
        <stp/>
        <stp>90007476.SZ</stp>
        <stp>Delta</stp>
        <tr r="M112" s="2"/>
      </tp>
      <tp>
        <v>-0.26769999999999999</v>
        <stp/>
        <stp>90007776.SZ</stp>
        <stp>Delta</stp>
        <tr r="M85" s="2"/>
      </tp>
      <tp>
        <v>-0.77270000000000005</v>
        <stp/>
        <stp>90007676.SZ</stp>
        <stp>Delta</stp>
        <tr r="M135" s="2"/>
      </tp>
      <tp>
        <v>0.77590000000000003</v>
        <stp/>
        <stp>90007075.SZ</stp>
        <stp>Delta</stp>
        <tr r="M38" s="2"/>
      </tp>
      <tp>
        <v>-0.20760000000000001</v>
        <stp/>
        <stp>90007575.SZ</stp>
        <stp>Delta</stp>
        <tr r="M73" s="2"/>
      </tp>
      <tp>
        <v>0.42510000000000003</v>
        <stp/>
        <stp>90007475.SZ</stp>
        <stp>Delta</stp>
        <tr r="M45" s="2"/>
      </tp>
      <tp>
        <v>-0.2107</v>
        <stp/>
        <stp>90007775.SZ</stp>
        <stp>Delta</stp>
        <tr r="M84" s="2"/>
      </tp>
      <tp>
        <v>0.27379999999999999</v>
        <stp/>
        <stp>90007675.SZ</stp>
        <stp>Delta</stp>
        <tr r="M68" s="2"/>
      </tp>
      <tp>
        <v>0.82580000000000009</v>
        <stp/>
        <stp>90007074.SZ</stp>
        <stp>Delta</stp>
        <tr r="M37" s="2"/>
      </tp>
      <tp>
        <v>-0.1246</v>
        <stp/>
        <stp>90007574.SZ</stp>
        <stp>Delta</stp>
        <tr r="M72" s="2"/>
      </tp>
      <tp>
        <v>0.73460000000000003</v>
        <stp/>
        <stp>90007774.SZ</stp>
        <stp>Delta</stp>
        <tr r="M18" s="2"/>
      </tp>
      <tp>
        <v>-0.80649999999999999</v>
        <stp/>
        <stp>90007674.SZ</stp>
        <stp>Delta</stp>
        <tr r="M118" s="2"/>
      </tp>
      <tp>
        <v>0.85489999999999999</v>
        <stp/>
        <stp>90007073.SZ</stp>
        <stp>Delta</stp>
        <tr r="M36" s="2"/>
      </tp>
      <tp>
        <v>0.12520000000000001</v>
        <stp/>
        <stp>90007573.SZ</stp>
        <stp>Delta</stp>
        <tr r="M13" s="2"/>
      </tp>
      <tp>
        <v>0.78350000000000009</v>
        <stp/>
        <stp>90007773.SZ</stp>
        <stp>Delta</stp>
        <tr r="M17" s="2"/>
      </tp>
      <tp>
        <v>0.2021</v>
        <stp/>
        <stp>90007673.SZ</stp>
        <stp>Delta</stp>
        <tr r="M51" s="2"/>
      </tp>
      <tp>
        <v>0.88790000000000002</v>
        <stp/>
        <stp>90007072.SZ</stp>
        <stp>Delta</stp>
        <tr r="M35" s="2"/>
      </tp>
      <tp>
        <v>0.1696</v>
        <stp/>
        <stp>90007572.SZ</stp>
        <stp>Delta</stp>
        <tr r="M12" s="2"/>
      </tp>
      <tp>
        <v>-0.94740000000000002</v>
        <stp/>
        <stp>90007672.SZ</stp>
        <stp>Delta</stp>
        <tr r="M83" s="2"/>
      </tp>
      <tp>
        <v>0.91339999999999999</v>
        <stp/>
        <stp>90007071.SZ</stp>
        <stp>Delta</stp>
        <tr r="M34" s="2"/>
      </tp>
      <tp>
        <v>0.23500000000000001</v>
        <stp/>
        <stp>90007571.SZ</stp>
        <stp>Delta</stp>
        <tr r="M11" s="2"/>
      </tp>
      <tp>
        <v>4.9000000000000002E-2</v>
        <stp/>
        <stp>90007671.SZ</stp>
        <stp>Delta</stp>
        <tr r="M16" s="2"/>
      </tp>
      <tp>
        <v>0.92930000000000001</v>
        <stp/>
        <stp>90007070.SZ</stp>
        <stp>Delta</stp>
        <tr r="M33" s="2"/>
      </tp>
      <tp>
        <v>0.3221</v>
        <stp/>
        <stp>90007570.SZ</stp>
        <stp>Delta</stp>
        <tr r="M10" s="2"/>
      </tp>
    </main>
    <main first="wdf.rtq">
      <tp>
        <v>0.93080000000000007</v>
        <stp/>
        <stp>90007069.SZ</stp>
        <stp>Delta</stp>
        <tr r="M32" s="2"/>
      </tp>
      <tp>
        <v>0.4325</v>
        <stp/>
        <stp>90007569.SZ</stp>
        <stp>Delta</stp>
        <tr r="M9" s="2"/>
      </tp>
      <tp>
        <v>-0.46940000000000004</v>
        <stp/>
        <stp>90007368.SZ</stp>
        <stp>Delta</stp>
        <tr r="M110" s="2"/>
      </tp>
      <tp>
        <v>0.55810000000000004</v>
        <stp/>
        <stp>90007568.SZ</stp>
        <stp>Delta</stp>
        <tr r="M8" s="2"/>
      </tp>
      <tp>
        <v>0.52770000000000006</v>
        <stp/>
        <stp>90007367.SZ</stp>
        <stp>Delta</stp>
        <tr r="M43" s="2"/>
      </tp>
      <tp>
        <v>0.68320000000000003</v>
        <stp/>
        <stp>90007567.SZ</stp>
        <stp>Delta</stp>
        <tr r="M7" s="2"/>
      </tp>
      <tp>
        <v>0.79390000000000005</v>
        <stp/>
        <stp>90007566.SZ</stp>
        <stp>Delta</stp>
        <tr r="M6" s="2"/>
      </tp>
      <tp>
        <v>0.875</v>
        <stp/>
        <stp>90007565.SZ</stp>
        <stp>Delta</stp>
        <tr r="M5" s="2"/>
      </tp>
      <tp>
        <v>-0.69610000000000005</v>
        <stp/>
        <stp>90007660.SZ</stp>
        <stp>Delta</stp>
        <tr r="M134" s="2"/>
      </tp>
    </main>
    <main first="wdf.rtq">
      <tp>
        <v>0.29970000000000002</v>
        <stp/>
        <stp>90007659.SZ</stp>
        <stp>Delta</stp>
        <tr r="M67" s="2"/>
      </tp>
      <tp>
        <v>-0.32630000000000003</v>
        <stp/>
        <stp>90007758.SZ</stp>
        <stp>Delta</stp>
        <tr r="M86" s="2"/>
      </tp>
      <tp>
        <v>-0.82300000000000006</v>
        <stp/>
        <stp>90007658.SZ</stp>
        <stp>Delta</stp>
        <tr r="M117" s="2"/>
      </tp>
      <tp>
        <v>0.67090000000000005</v>
        <stp/>
        <stp>90007757.SZ</stp>
        <stp>Delta</stp>
        <tr r="M19" s="2"/>
      </tp>
      <tp>
        <v>0.2301</v>
        <stp/>
        <stp>90007657.SZ</stp>
        <stp>Delta</stp>
        <tr r="M50" s="2"/>
      </tp>
      <tp>
        <v>-0.93720000000000003</v>
        <stp/>
        <stp>90007656.SZ</stp>
        <stp>Delta</stp>
        <tr r="M82" s="2"/>
      </tp>
      <tp>
        <v>6.83E-2</v>
        <stp/>
        <stp>90007655.SZ</stp>
        <stp>Delta</stp>
        <tr r="M15" s="2"/>
      </tp>
      <tp>
        <v>-0.85260000000000002</v>
        <stp/>
        <stp>90007754.SZ</stp>
        <stp>Delta</stp>
        <tr r="M96" s="2"/>
      </tp>
      <tp>
        <v>0.13750000000000001</v>
        <stp/>
        <stp>90007753.SZ</stp>
        <stp>Delta</stp>
        <tr r="M29" s="2"/>
      </tp>
      <tp>
        <v>-0.4163</v>
        <stp/>
        <stp>90007352.SZ</stp>
        <stp>Delta</stp>
        <tr r="M109" s="2"/>
      </tp>
      <tp>
        <v>0.58210000000000006</v>
        <stp/>
        <stp>90007351.SZ</stp>
        <stp>Delta</stp>
        <tr r="M42" s="2"/>
      </tp>
      <tp>
        <v>-0.68310000000000004</v>
        <stp/>
        <stp>90007650.SZ</stp>
        <stp>Delta</stp>
        <tr r="M133" s="2"/>
      </tp>
    </main>
    <main first="wdf.rtq">
      <tp>
        <v>0.32400000000000001</v>
        <stp/>
        <stp>90007649.SZ</stp>
        <stp>Delta</stp>
        <tr r="M66" s="2"/>
      </tp>
      <tp>
        <v>-0.7379</v>
        <stp/>
        <stp>90007648.SZ</stp>
        <stp>Delta</stp>
        <tr r="M116" s="2"/>
      </tp>
      <tp>
        <v>0.2611</v>
        <stp/>
        <stp>90007647.SZ</stp>
        <stp>Delta</stp>
        <tr r="M49" s="2"/>
      </tp>
      <tp>
        <v>-0.64119999999999999</v>
        <stp/>
        <stp>90007546.SZ</stp>
        <stp>Delta</stp>
        <tr r="M132" s="2"/>
      </tp>
      <tp>
        <v>-0.91580000000000006</v>
        <stp/>
        <stp>90007646.SZ</stp>
        <stp>Delta</stp>
        <tr r="M81" s="2"/>
      </tp>
    </main>
    <main first="wdf.rtq">
      <tp>
        <v>0.35310000000000002</v>
        <stp/>
        <stp>90007545.SZ</stp>
        <stp>Delta</stp>
        <tr r="M65" s="2"/>
      </tp>
      <tp>
        <v>8.7599999999999997E-2</v>
        <stp/>
        <stp>90007645.SZ</stp>
        <stp>Delta</stp>
        <tr r="M14" s="2"/>
      </tp>
      <tp>
        <v>-0.36510000000000004</v>
        <stp/>
        <stp>90007344.SZ</stp>
        <stp>Delta</stp>
        <tr r="M108" s="2"/>
      </tp>
      <tp>
        <v>-0.69720000000000004</v>
        <stp/>
        <stp>90007544.SZ</stp>
        <stp>Delta</stp>
        <tr r="M115" s="2"/>
      </tp>
      <tp>
        <v>0.63670000000000004</v>
        <stp/>
        <stp>90007343.SZ</stp>
        <stp>Delta</stp>
        <tr r="M41" s="2"/>
      </tp>
      <tp>
        <v>0.29520000000000002</v>
        <stp/>
        <stp>90007543.SZ</stp>
        <stp>Delta</stp>
        <tr r="M48" s="2"/>
      </tp>
    </main>
    <main first="wdf.rtq">
      <tp>
        <v>-5.0900000000000001E-2</v>
        <stp/>
        <stp>90007138.SZ</stp>
        <stp>Delta</stp>
        <tr r="M98" s="2"/>
      </tp>
      <tp>
        <v>0.95190000000000008</v>
        <stp/>
        <stp>90007137.SZ</stp>
        <stp>Delta</stp>
        <tr r="M31" s="2"/>
      </tp>
      <tp>
        <v>-3.7600000000000001E-2</v>
        <stp/>
        <stp>90007632.SZ</stp>
        <stp>Delta</stp>
        <tr r="M70" s="2"/>
      </tp>
      <tp>
        <v>-1.89E-2</v>
        <stp/>
        <stp>90007631.SZ</stp>
        <stp>Delta</stp>
        <tr r="M69" s="2"/>
      </tp>
      <tp>
        <v>-0.61050000000000004</v>
        <stp/>
        <stp>90007530.SZ</stp>
        <stp>Delta</stp>
        <tr r="M131" s="2"/>
      </tp>
      <tp>
        <v>0.96890000000000009</v>
        <stp/>
        <stp>90007630.SZ</stp>
        <stp>Delta</stp>
        <tr r="M3" s="2"/>
      </tp>
    </main>
    <main first="wdf.rtq">
      <tp>
        <v>0.38370000000000004</v>
        <stp/>
        <stp>90007529.SZ</stp>
        <stp>Delta</stp>
        <tr r="M64" s="2"/>
      </tp>
      <tp>
        <v>0.99260000000000004</v>
        <stp/>
        <stp>90007629.SZ</stp>
        <stp>Delta</stp>
        <tr r="M2" s="2"/>
      </tp>
      <tp>
        <v>-0.66839999999999999</v>
        <stp/>
        <stp>90007528.SZ</stp>
        <stp>Delta</stp>
        <tr r="M114" s="2"/>
      </tp>
      <tp>
        <v>-0.54280000000000006</v>
        <stp/>
        <stp>90007428.SZ</stp>
        <stp>Delta</stp>
        <tr r="M129" s="2"/>
      </tp>
      <tp>
        <v>0.3347</v>
        <stp/>
        <stp>90007527.SZ</stp>
        <stp>Delta</stp>
        <tr r="M47" s="2"/>
      </tp>
      <tp>
        <v>-0.50819999999999999</v>
        <stp/>
        <stp>90007427.SZ</stp>
        <stp>Delta</stp>
        <tr r="M128" s="2"/>
      </tp>
      <tp>
        <v>-0.47310000000000002</v>
        <stp/>
        <stp>90007426.SZ</stp>
        <stp>Delta</stp>
        <tr r="M127" s="2"/>
      </tp>
      <tp>
        <v>-0.435</v>
        <stp/>
        <stp>90007425.SZ</stp>
        <stp>Delta</stp>
        <tr r="M126" s="2"/>
      </tp>
      <tp>
        <v>-4.41E-2</v>
        <stp/>
        <stp>90007324.SZ</stp>
        <stp>Delta</stp>
        <tr r="M97" s="2"/>
      </tp>
      <tp>
        <v>-0.39980000000000004</v>
        <stp/>
        <stp>90007424.SZ</stp>
        <stp>Delta</stp>
        <tr r="M125" s="2"/>
      </tp>
    </main>
    <main first="wdf.rtq">
      <tp>
        <v>0.95300000000000007</v>
        <stp/>
        <stp>90007323.SZ</stp>
        <stp>Delta</stp>
        <tr r="M30" s="2"/>
      </tp>
      <tp>
        <v>-0.3634</v>
        <stp/>
        <stp>90007423.SZ</stp>
        <stp>Delta</stp>
        <tr r="M124" s="2"/>
      </tp>
      <tp>
        <v>-0.32130000000000003</v>
        <stp/>
        <stp>90007422.SZ</stp>
        <stp>Delta</stp>
        <tr r="M123" s="2"/>
      </tp>
      <tp>
        <v>-6.7799999999999999E-2</v>
        <stp/>
        <stp>90007622.SZ</stp>
        <stp>Delta</stp>
        <tr r="M71" s="2"/>
      </tp>
      <tp>
        <v>-0.2898</v>
        <stp/>
        <stp>90007421.SZ</stp>
        <stp>Delta</stp>
        <tr r="M122" s="2"/>
      </tp>
      <tp>
        <v>0.92930000000000001</v>
        <stp/>
        <stp>90007621.SZ</stp>
        <stp>Delta</stp>
        <tr r="M4" s="2"/>
      </tp>
      <tp>
        <v>-0.25259999999999999</v>
        <stp/>
        <stp>90007420.SZ</stp>
        <stp>Delta</stp>
        <tr r="M121" s="2"/>
      </tp>
    </main>
    <main first="wdf.rtq">
      <tp>
        <v>0.44980000000000003</v>
        <stp/>
        <stp>90007419.SZ</stp>
        <stp>Delta</stp>
        <tr r="M62" s="2"/>
      </tp>
      <tp>
        <v>0.4859</v>
        <stp/>
        <stp>90007418.SZ</stp>
        <stp>Delta</stp>
        <tr r="M61" s="2"/>
      </tp>
      <tp>
        <v>0.52250000000000008</v>
        <stp/>
        <stp>90007417.SZ</stp>
        <stp>Delta</stp>
        <tr r="M60" s="2"/>
      </tp>
      <tp>
        <v>0.55940000000000001</v>
        <stp/>
        <stp>90007416.SZ</stp>
        <stp>Delta</stp>
        <tr r="M59" s="2"/>
      </tp>
      <tp>
        <v>0.59530000000000005</v>
        <stp/>
        <stp>90007415.SZ</stp>
        <stp>Delta</stp>
        <tr r="M58" s="2"/>
      </tp>
      <tp>
        <v>0.63729999999999998</v>
        <stp/>
        <stp>90007414.SZ</stp>
        <stp>Delta</stp>
        <tr r="M57" s="2"/>
      </tp>
      <tp>
        <v>-0.89119999999999999</v>
        <stp/>
        <stp>90007714.SZ</stp>
        <stp>Delta</stp>
        <tr r="M95" s="2"/>
      </tp>
      <tp>
        <v>0.66960000000000008</v>
        <stp/>
        <stp>90007413.SZ</stp>
        <stp>Delta</stp>
        <tr r="M56" s="2"/>
      </tp>
      <tp>
        <v>-0.86910000000000009</v>
        <stp/>
        <stp>90007713.SZ</stp>
        <stp>Delta</stp>
        <tr r="M94" s="2"/>
      </tp>
      <tp>
        <v>0.71050000000000002</v>
        <stp/>
        <stp>90007412.SZ</stp>
        <stp>Delta</stp>
        <tr r="M55" s="2"/>
      </tp>
      <tp>
        <v>-0.76200000000000001</v>
        <stp/>
        <stp>90007712.SZ</stp>
        <stp>Delta</stp>
        <tr r="M93" s="2"/>
      </tp>
      <tp>
        <v>0.73910000000000009</v>
        <stp/>
        <stp>90007411.SZ</stp>
        <stp>Delta</stp>
        <tr r="M54" s="2"/>
      </tp>
      <tp>
        <v>-0.70679999999999998</v>
        <stp/>
        <stp>90007711.SZ</stp>
        <stp>Delta</stp>
        <tr r="M92" s="2"/>
      </tp>
      <tp>
        <v>-0.6522</v>
        <stp/>
        <stp>90007710.SZ</stp>
        <stp>Delta</stp>
        <tr r="M91" s="2"/>
      </tp>
    </main>
    <main first="wdf.rtq">
      <tp>
        <v>-0.59460000000000002</v>
        <stp/>
        <stp>90007709.SZ</stp>
        <stp>Delta</stp>
        <tr r="M90" s="2"/>
      </tp>
      <tp>
        <v>-0.53110000000000002</v>
        <stp/>
        <stp>90007708.SZ</stp>
        <stp>Delta</stp>
        <tr r="M89" s="2"/>
      </tp>
      <tp>
        <v>-0.46260000000000001</v>
        <stp/>
        <stp>90007707.SZ</stp>
        <stp>Delta</stp>
        <tr r="M88" s="2"/>
      </tp>
      <tp>
        <v>-0.59260000000000002</v>
        <stp/>
        <stp>90007506.SZ</stp>
        <stp>Delta</stp>
        <tr r="M130" s="2"/>
      </tp>
      <tp>
        <v>-0.3947</v>
        <stp/>
        <stp>90007706.SZ</stp>
        <stp>Delta</stp>
        <tr r="M87" s="2"/>
      </tp>
      <tp>
        <v>0.40490000000000004</v>
        <stp/>
        <stp>90007505.SZ</stp>
        <stp>Delta</stp>
        <tr r="M63" s="2"/>
      </tp>
      <tp>
        <v>0.16570000000000001</v>
        <stp/>
        <stp>90007705.SZ</stp>
        <stp>Delta</stp>
        <tr r="M28" s="2"/>
      </tp>
      <tp>
        <v>-0.62180000000000002</v>
        <stp/>
        <stp>90007504.SZ</stp>
        <stp>Delta</stp>
        <tr r="M113" s="2"/>
      </tp>
      <tp>
        <v>0.20170000000000002</v>
        <stp/>
        <stp>90007704.SZ</stp>
        <stp>Delta</stp>
        <tr r="M27" s="2"/>
      </tp>
      <tp>
        <v>0.37759999999999999</v>
        <stp/>
        <stp>90007503.SZ</stp>
        <stp>Delta</stp>
        <tr r="M46" s="2"/>
      </tp>
      <tp>
        <v>0.24260000000000001</v>
        <stp/>
        <stp>90007703.SZ</stp>
        <stp>Delta</stp>
        <tr r="M26" s="2"/>
      </tp>
      <tp>
        <v>0.29150000000000004</v>
        <stp/>
        <stp>90007702.SZ</stp>
        <stp>Delta</stp>
        <tr r="M25" s="2"/>
      </tp>
      <tp>
        <v>0.34460000000000002</v>
        <stp/>
        <stp>90007701.SZ</stp>
        <stp>Delta</stp>
        <tr r="M24" s="2"/>
      </tp>
      <tp>
        <v>0.40450000000000003</v>
        <stp/>
        <stp>90007700.SZ</stp>
        <stp>Delta</stp>
        <tr r="M23" s="2"/>
      </tp>
    </main>
    <main first="wdf.rtq">
      <tp>
        <v>0.34560000000000002</v>
        <stp/>
        <stp>90007418.SZ</stp>
        <stp>Ask_Price1</stp>
        <tr r="F61" s="2"/>
      </tp>
      <tp>
        <v>0.59540000000000004</v>
        <stp/>
        <stp>90007428.SZ</stp>
        <stp>Ask_Price1</stp>
        <tr r="F129" s="2"/>
      </tp>
      <tp>
        <v>0.57710000000000006</v>
        <stp/>
        <stp>90007528.SZ</stp>
        <stp>Ask_Price1</stp>
        <tr r="F114" s="2"/>
      </tp>
      <tp>
        <v>0.16400000000000001</v>
        <stp/>
        <stp>90007578.SZ</stp>
        <stp>Ask_Price1</stp>
        <tr r="F76" s="2"/>
      </tp>
      <tp>
        <v>0.14080000000000001</v>
        <stp/>
        <stp>90007568.SZ</stp>
        <stp>Ask_Price1</stp>
        <tr r="F8" s="2"/>
      </tp>
      <tp>
        <v>0.82240000000000002</v>
        <stp/>
        <stp>90007658.SZ</stp>
        <stp>Ask_Price1</stp>
        <tr r="F117" s="2"/>
      </tp>
      <tp>
        <v>0.73780000000000001</v>
        <stp/>
        <stp>90007648.SZ</stp>
        <stp>Ask_Price1</stp>
        <tr r="F116" s="2"/>
      </tp>
      <tp>
        <v>0.2399</v>
        <stp/>
        <stp>90007698.SZ</stp>
        <stp>Ask_Price1</stp>
        <tr r="F21" s="2"/>
      </tp>
      <tp>
        <v>0.28290000000000004</v>
        <stp/>
        <stp>90007708.SZ</stp>
        <stp>Ask_Price1</stp>
        <tr r="F89" s="2"/>
      </tp>
      <tp>
        <v>0.1394</v>
        <stp/>
        <stp>90007758.SZ</stp>
        <stp>Ask_Price1</stp>
        <tr r="F86" s="2"/>
      </tp>
      <tp>
        <v>2.3400000000000001E-2</v>
        <stp/>
        <stp>90007078.SZ</stp>
        <stp>Ask_Price1</stp>
        <tr r="F99" s="2"/>
      </tp>
      <tp>
        <v>1.9100000000000002E-2</v>
        <stp/>
        <stp>90007138.SZ</stp>
        <stp>Ask_Price1</stp>
        <tr r="F98" s="2"/>
      </tp>
      <tp>
        <v>0.29860000000000003</v>
        <stp/>
        <stp>90007368.SZ</stp>
        <stp>Ask_Price1</stp>
        <tr r="F110" s="2"/>
      </tp>
      <tp>
        <v>0.3664</v>
        <stp/>
        <stp>90007388.SZ</stp>
        <stp>Ask_Price1</stp>
        <tr r="F111" s="2"/>
      </tp>
      <tp>
        <v>0.23950000000000002</v>
        <stp/>
        <stp>90007698.SZ</stp>
        <stp>Bid_Price1</stp>
        <tr r="E21" s="2"/>
      </tp>
      <tp>
        <v>0.71060000000000001</v>
        <stp/>
        <stp>90007648.SZ</stp>
        <stp>Bid_Price1</stp>
        <tr r="E116" s="2"/>
      </tp>
      <tp>
        <v>0.79360000000000008</v>
        <stp/>
        <stp>90007658.SZ</stp>
        <stp>Bid_Price1</stp>
        <tr r="E117" s="2"/>
      </tp>
      <tp>
        <v>0.13300000000000001</v>
        <stp/>
        <stp>90007758.SZ</stp>
        <stp>Bid_Price1</stp>
        <tr r="E86" s="2"/>
      </tp>
      <tp>
        <v>0.27900000000000003</v>
        <stp/>
        <stp>90007708.SZ</stp>
        <stp>Bid_Price1</stp>
        <tr r="E89" s="2"/>
      </tp>
      <tp>
        <v>0.56740000000000002</v>
        <stp/>
        <stp>90007428.SZ</stp>
        <stp>Bid_Price1</stp>
        <tr r="E129" s="2"/>
      </tp>
      <tp>
        <v>0.34350000000000003</v>
        <stp/>
        <stp>90007418.SZ</stp>
        <stp>Bid_Price1</stp>
        <tr r="E61" s="2"/>
      </tp>
      <tp>
        <v>0.14070000000000002</v>
        <stp/>
        <stp>90007568.SZ</stp>
        <stp>Bid_Price1</stp>
        <tr r="E8" s="2"/>
      </tp>
      <tp>
        <v>0.16390000000000002</v>
        <stp/>
        <stp>90007578.SZ</stp>
        <stp>Bid_Price1</stp>
        <tr r="E76" s="2"/>
      </tp>
      <tp>
        <v>0.55320000000000003</v>
        <stp/>
        <stp>90007528.SZ</stp>
        <stp>Bid_Price1</stp>
        <tr r="E114" s="2"/>
      </tp>
      <tp>
        <v>0.35000000000000003</v>
        <stp/>
        <stp>90007388.SZ</stp>
        <stp>Bid_Price1</stp>
        <tr r="E111" s="2"/>
      </tp>
      <tp>
        <v>0.29210000000000003</v>
        <stp/>
        <stp>90007368.SZ</stp>
        <stp>Bid_Price1</stp>
        <tr r="E110" s="2"/>
      </tp>
      <tp>
        <v>2.2500000000000003E-2</v>
        <stp/>
        <stp>90007078.SZ</stp>
        <stp>Bid_Price1</stp>
        <tr r="E99" s="2"/>
      </tp>
      <tp>
        <v>1.9E-2</v>
        <stp/>
        <stp>90007138.SZ</stp>
        <stp>Bid_Price1</stp>
        <tr r="E98" s="2"/>
      </tp>
      <tp>
        <v>0.30830000000000002</v>
        <stp/>
        <stp>90007419.SZ</stp>
        <stp>Ask_Price1</stp>
        <tr r="F62" s="2"/>
      </tp>
      <tp>
        <v>0.248</v>
        <stp/>
        <stp>90007529.SZ</stp>
        <stp>Ask_Price1</stp>
        <tr r="F64" s="2"/>
      </tp>
      <tp>
        <v>0.23290000000000002</v>
        <stp/>
        <stp>90007579.SZ</stp>
        <stp>Ask_Price1</stp>
        <tr r="F77" s="2"/>
      </tp>
      <tp>
        <v>9.6800000000000011E-2</v>
        <stp/>
        <stp>90007569.SZ</stp>
        <stp>Ask_Price1</stp>
        <tr r="F9" s="2"/>
      </tp>
      <tp>
        <v>0.64240000000000008</v>
        <stp/>
        <stp>90007629.SZ</stp>
        <stp>Ask_Price1</stp>
        <tr r="F2" s="2"/>
      </tp>
      <tp>
        <v>0.18210000000000001</v>
        <stp/>
        <stp>90007659.SZ</stp>
        <stp>Ask_Price1</stp>
        <tr r="F67" s="2"/>
      </tp>
      <tp>
        <v>0.2026</v>
        <stp/>
        <stp>90007649.SZ</stp>
        <stp>Ask_Price1</stp>
        <tr r="F66" s="2"/>
      </tp>
      <tp>
        <v>0.19500000000000001</v>
        <stp/>
        <stp>90007699.SZ</stp>
        <stp>Ask_Price1</stp>
        <tr r="F22" s="2"/>
      </tp>
      <tp>
        <v>0.3498</v>
        <stp/>
        <stp>90007709.SZ</stp>
        <stp>Ask_Price1</stp>
        <tr r="F90" s="2"/>
      </tp>
      <tp>
        <v>2.6800000000000001E-2</v>
        <stp/>
        <stp>90007079.SZ</stp>
        <stp>Ask_Price1</stp>
        <tr r="F100" s="2"/>
      </tp>
      <tp>
        <v>1.0702</v>
        <stp/>
        <stp>90007069.SZ</stp>
        <stp>Ask_Price1</stp>
        <tr r="F32" s="2"/>
      </tp>
      <tp>
        <v>0.19400000000000001</v>
        <stp/>
        <stp>90007699.SZ</stp>
        <stp>Bid_Price1</stp>
        <tr r="E22" s="2"/>
      </tp>
      <tp>
        <v>0.19270000000000001</v>
        <stp/>
        <stp>90007649.SZ</stp>
        <stp>Bid_Price1</stp>
        <tr r="E66" s="2"/>
      </tp>
      <tp>
        <v>0.17430000000000001</v>
        <stp/>
        <stp>90007659.SZ</stp>
        <stp>Bid_Price1</stp>
        <tr r="E67" s="2"/>
      </tp>
      <tp>
        <v>0.62750000000000006</v>
        <stp/>
        <stp>90007629.SZ</stp>
        <stp>Bid_Price1</stp>
        <tr r="E2" s="2"/>
      </tp>
      <tp>
        <v>0.34720000000000001</v>
        <stp/>
        <stp>90007709.SZ</stp>
        <stp>Bid_Price1</stp>
        <tr r="E90" s="2"/>
      </tp>
      <tp>
        <v>0.29970000000000002</v>
        <stp/>
        <stp>90007419.SZ</stp>
        <stp>Bid_Price1</stp>
        <tr r="E62" s="2"/>
      </tp>
      <tp>
        <v>9.6600000000000005E-2</v>
        <stp/>
        <stp>90007569.SZ</stp>
        <stp>Bid_Price1</stp>
        <tr r="E9" s="2"/>
      </tp>
      <tp>
        <v>0.23280000000000001</v>
        <stp/>
        <stp>90007579.SZ</stp>
        <stp>Bid_Price1</stp>
        <tr r="E77" s="2"/>
      </tp>
      <tp>
        <v>0.24020000000000002</v>
        <stp/>
        <stp>90007529.SZ</stp>
        <stp>Bid_Price1</stp>
        <tr r="E64" s="2"/>
      </tp>
      <tp>
        <v>1.0351000000000001</v>
        <stp/>
        <stp>90007069.SZ</stp>
        <stp>Bid_Price1</stp>
        <tr r="E32" s="2"/>
      </tp>
      <tp>
        <v>2.6200000000000001E-2</v>
        <stp/>
        <stp>90007079.SZ</stp>
        <stp>Bid_Price1</stp>
        <tr r="E100" s="2"/>
      </tp>
      <tp>
        <v>0.43840000000000001</v>
        <stp/>
        <stp>90007078.SZ</stp>
        <stp>ImpliedVol</stp>
        <tr r="K99" s="2"/>
      </tp>
      <tp>
        <v>0.43880000000000002</v>
        <stp/>
        <stp>90007138.SZ</stp>
        <stp>ImpliedVol</stp>
        <tr r="K98" s="2"/>
      </tp>
      <tp>
        <v>0.38930000000000003</v>
        <stp/>
        <stp>90007368.SZ</stp>
        <stp>ImpliedVol</stp>
        <tr r="K110" s="2"/>
      </tp>
      <tp>
        <v>0.39269999999999999</v>
        <stp/>
        <stp>90007388.SZ</stp>
        <stp>ImpliedVol</stp>
        <tr r="K111" s="2"/>
      </tp>
      <tp>
        <v>0.39090000000000003</v>
        <stp/>
        <stp>90007428.SZ</stp>
        <stp>ImpliedVol</stp>
        <tr r="K129" s="2"/>
      </tp>
      <tp>
        <v>0.39350000000000002</v>
        <stp/>
        <stp>90007418.SZ</stp>
        <stp>ImpliedVol</stp>
        <tr r="K61" s="2"/>
      </tp>
      <tp>
        <v>0.40920000000000001</v>
        <stp/>
        <stp>90007578.SZ</stp>
        <stp>ImpliedVol</stp>
        <tr r="K76" s="2"/>
      </tp>
      <tp>
        <v>0.39940000000000003</v>
        <stp/>
        <stp>90007568.SZ</stp>
        <stp>ImpliedVol</stp>
        <tr r="K8" s="2"/>
      </tp>
      <tp>
        <v>0.38920000000000005</v>
        <stp/>
        <stp>90007528.SZ</stp>
        <stp>ImpliedVol</stp>
        <tr r="K114" s="2"/>
      </tp>
      <tp>
        <v>0.39700000000000002</v>
        <stp/>
        <stp>90007658.SZ</stp>
        <stp>ImpliedVol</stp>
        <tr r="K117" s="2"/>
      </tp>
      <tp>
        <v>0.40840000000000004</v>
        <stp/>
        <stp>90007648.SZ</stp>
        <stp>ImpliedVol</stp>
        <tr r="K116" s="2"/>
      </tp>
      <tp>
        <v>0.3916</v>
        <stp/>
        <stp>90007698.SZ</stp>
        <stp>ImpliedVol</stp>
        <tr r="K21" s="2"/>
      </tp>
      <tp>
        <v>0.38230000000000003</v>
        <stp/>
        <stp>90007758.SZ</stp>
        <stp>ImpliedVol</stp>
        <tr r="K86" s="2"/>
      </tp>
      <tp>
        <v>0.38850000000000001</v>
        <stp/>
        <stp>90007708.SZ</stp>
        <stp>ImpliedVol</stp>
        <tr r="K89" s="2"/>
      </tp>
      <tp>
        <v>0.4335</v>
        <stp/>
        <stp>90007079.SZ</stp>
        <stp>ImpliedVol</stp>
        <tr r="K100" s="2"/>
      </tp>
      <tp>
        <v>0.4098</v>
        <stp/>
        <stp>90007069.SZ</stp>
        <stp>ImpliedVol</stp>
        <tr r="K32" s="2"/>
      </tp>
      <tp>
        <v>0.39450000000000002</v>
        <stp/>
        <stp>90007419.SZ</stp>
        <stp>ImpliedVol</stp>
        <tr r="K62" s="2"/>
      </tp>
      <tp>
        <v>0.42150000000000004</v>
        <stp/>
        <stp>90007579.SZ</stp>
        <stp>ImpliedVol</stp>
        <tr r="K77" s="2"/>
      </tp>
      <tp>
        <v>0.40650000000000003</v>
        <stp/>
        <stp>90007569.SZ</stp>
        <stp>ImpliedVol</stp>
        <tr r="K9" s="2"/>
      </tp>
      <tp>
        <v>0.39630000000000004</v>
        <stp/>
        <stp>90007529.SZ</stp>
        <stp>ImpliedVol</stp>
        <tr r="K64" s="2"/>
      </tp>
      <tp>
        <v>0.40300000000000002</v>
        <stp/>
        <stp>90007659.SZ</stp>
        <stp>ImpliedVol</stp>
        <tr r="K67" s="2"/>
      </tp>
      <tp>
        <v>0.3977</v>
        <stp/>
        <stp>90007649.SZ</stp>
        <stp>ImpliedVol</stp>
        <tr r="K66" s="2"/>
      </tp>
      <tp>
        <v>0.36530000000000001</v>
        <stp/>
        <stp>90007629.SZ</stp>
        <stp>ImpliedVol</stp>
        <tr r="K2" s="2"/>
      </tp>
      <tp>
        <v>0.38980000000000004</v>
        <stp/>
        <stp>90007699.SZ</stp>
        <stp>ImpliedVol</stp>
        <tr r="K22" s="2"/>
      </tp>
      <tp>
        <v>0.39240000000000003</v>
        <stp/>
        <stp>90007709.SZ</stp>
        <stp>ImpliedVol</stp>
        <tr r="K90" s="2"/>
      </tp>
      <tp>
        <v>0.1895</v>
        <stp/>
        <stp>90007420.SZ</stp>
        <stp>Ask_Price1</stp>
        <tr r="F121" s="2"/>
      </tp>
      <tp>
        <v>0.73470000000000002</v>
        <stp/>
        <stp>90007530.SZ</stp>
        <stp>Ask_Price1</stp>
        <tr r="F131" s="2"/>
      </tp>
      <tp>
        <v>6.54E-2</v>
        <stp/>
        <stp>90007570.SZ</stp>
        <stp>Ask_Price1</stp>
        <tr r="F10" s="2"/>
      </tp>
      <tp>
        <v>0.316</v>
        <stp/>
        <stp>90007580.SZ</stp>
        <stp>Ask_Price1</stp>
        <tr r="F78" s="2"/>
      </tp>
      <tp>
        <v>0.5444</v>
        <stp/>
        <stp>90007630.SZ</stp>
        <stp>Ask_Price1</stp>
        <tr r="F3" s="2"/>
      </tp>
      <tp>
        <v>0.88630000000000009</v>
        <stp/>
        <stp>90007650.SZ</stp>
        <stp>Ask_Price1</stp>
        <tr r="F133" s="2"/>
      </tp>
      <tp>
        <v>0.96620000000000006</v>
        <stp/>
        <stp>90007660.SZ</stp>
        <stp>Ask_Price1</stp>
        <tr r="F134" s="2"/>
      </tp>
      <tp>
        <v>0.42000000000000004</v>
        <stp/>
        <stp>90007710.SZ</stp>
        <stp>Ask_Price1</stp>
        <tr r="F91" s="2"/>
      </tp>
      <tp>
        <v>0.15820000000000001</v>
        <stp/>
        <stp>90007700.SZ</stp>
        <stp>Ask_Price1</stp>
        <tr r="F23" s="2"/>
      </tp>
      <tp>
        <v>1.0242</v>
        <stp/>
        <stp>90007070.SZ</stp>
        <stp>Ask_Price1</stp>
        <tr r="F33" s="2"/>
      </tp>
      <tp>
        <v>3.5400000000000001E-2</v>
        <stp/>
        <stp>90007080.SZ</stp>
        <stp>Ask_Price1</stp>
        <tr r="F101" s="2"/>
      </tp>
      <tp>
        <v>0.92980000000000007</v>
        <stp/>
        <stp>90007660.SZ</stp>
        <stp>Bid_Price1</stp>
        <tr r="E134" s="2"/>
      </tp>
      <tp>
        <v>0.85160000000000002</v>
        <stp/>
        <stp>90007650.SZ</stp>
        <stp>Bid_Price1</stp>
        <tr r="E133" s="2"/>
      </tp>
      <tp>
        <v>0.54</v>
        <stp/>
        <stp>90007630.SZ</stp>
        <stp>Bid_Price1</stp>
        <tr r="E3" s="2"/>
      </tp>
      <tp>
        <v>0.15720000000000001</v>
        <stp/>
        <stp>90007700.SZ</stp>
        <stp>Bid_Price1</stp>
        <tr r="E23" s="2"/>
      </tp>
      <tp>
        <v>0.41100000000000003</v>
        <stp/>
        <stp>90007710.SZ</stp>
        <stp>Bid_Price1</stp>
        <tr r="E91" s="2"/>
      </tp>
      <tp>
        <v>0.189</v>
        <stp/>
        <stp>90007420.SZ</stp>
        <stp>Bid_Price1</stp>
        <tr r="E121" s="2"/>
      </tp>
      <tp>
        <v>0.31320000000000003</v>
        <stp/>
        <stp>90007580.SZ</stp>
        <stp>Bid_Price1</stp>
        <tr r="E78" s="2"/>
      </tp>
      <tp>
        <v>6.5299999999999997E-2</v>
        <stp/>
        <stp>90007570.SZ</stp>
        <stp>Bid_Price1</stp>
        <tr r="E10" s="2"/>
      </tp>
      <tp>
        <v>0.70330000000000004</v>
        <stp/>
        <stp>90007530.SZ</stp>
        <stp>Bid_Price1</stp>
        <tr r="E131" s="2"/>
      </tp>
      <tp>
        <v>3.4500000000000003E-2</v>
        <stp/>
        <stp>90007080.SZ</stp>
        <stp>Bid_Price1</stp>
        <tr r="E101" s="2"/>
      </tp>
      <tp>
        <v>0.98960000000000004</v>
        <stp/>
        <stp>90007070.SZ</stp>
        <stp>Bid_Price1</stp>
        <tr r="E33" s="2"/>
      </tp>
      <tp>
        <v>0.39019999999999999</v>
        <stp/>
        <stp>90007076.SZ</stp>
        <stp>ImpliedVol</stp>
        <tr r="K39" s="2"/>
      </tp>
      <tp>
        <v>0.39119999999999999</v>
        <stp/>
        <stp>90007086.SZ</stp>
        <stp>ImpliedVol</stp>
        <tr r="K107" s="2"/>
      </tp>
      <tp>
        <v>0.39690000000000003</v>
        <stp/>
        <stp>90007476.SZ</stp>
        <stp>ImpliedVol</stp>
        <tr r="K112" s="2"/>
      </tp>
      <tp>
        <v>0.39030000000000004</v>
        <stp/>
        <stp>90007426.SZ</stp>
        <stp>ImpliedVol</stp>
        <tr r="K127" s="2"/>
      </tp>
      <tp>
        <v>0.3931</v>
        <stp/>
        <stp>90007416.SZ</stp>
        <stp>ImpliedVol</stp>
        <tr r="K59" s="2"/>
      </tp>
      <tp>
        <v>0.41750000000000004</v>
        <stp/>
        <stp>90007486.SZ</stp>
        <stp>ImpliedVol</stp>
        <tr r="K119" s="2"/>
      </tp>
      <tp>
        <v>0.39500000000000002</v>
        <stp/>
        <stp>90007576.SZ</stp>
        <stp>ImpliedVol</stp>
        <tr r="K74" s="2"/>
      </tp>
      <tp>
        <v>0.39490000000000003</v>
        <stp/>
        <stp>90007566.SZ</stp>
        <stp>ImpliedVol</stp>
        <tr r="K6" s="2"/>
      </tp>
      <tp>
        <v>0.39510000000000001</v>
        <stp/>
        <stp>90007546.SZ</stp>
        <stp>ImpliedVol</stp>
        <tr r="K132" s="2"/>
      </tp>
      <tp>
        <v>0.38490000000000002</v>
        <stp/>
        <stp>90007506.SZ</stp>
        <stp>ImpliedVol</stp>
        <tr r="K130" s="2"/>
      </tp>
      <tp>
        <v>0.39169999999999999</v>
        <stp/>
        <stp>90007676.SZ</stp>
        <stp>ImpliedVol</stp>
        <tr r="K135" s="2"/>
      </tp>
      <tp>
        <v>0.50170000000000003</v>
        <stp/>
        <stp>90007656.SZ</stp>
        <stp>ImpliedVol</stp>
        <tr r="K82" s="2"/>
      </tp>
      <tp>
        <v>0.47840000000000005</v>
        <stp/>
        <stp>90007646.SZ</stp>
        <stp>ImpliedVol</stp>
        <tr r="K81" s="2"/>
      </tp>
      <tp>
        <v>0.39550000000000002</v>
        <stp/>
        <stp>90007776.SZ</stp>
        <stp>ImpliedVol</stp>
        <tr r="K85" s="2"/>
      </tp>
      <tp>
        <v>0.38880000000000003</v>
        <stp/>
        <stp>90007706.SZ</stp>
        <stp>ImpliedVol</stp>
        <tr r="K87" s="2"/>
      </tp>
      <tp>
        <v>0.71300000000000008</v>
        <stp/>
        <stp>90007411.SZ</stp>
        <stp>Ask_Price1</stp>
        <tr r="F54" s="2"/>
      </tp>
      <tp>
        <v>0.2321</v>
        <stp/>
        <stp>90007421.SZ</stp>
        <stp>Ask_Price1</stp>
        <tr r="F122" s="2"/>
      </tp>
      <tp>
        <v>0.8004</v>
        <stp/>
        <stp>90007481.SZ</stp>
        <stp>Ask_Price1</stp>
        <tr r="F53" s="2"/>
      </tp>
      <tp>
        <v>4.4700000000000004E-2</v>
        <stp/>
        <stp>90007571.SZ</stp>
        <stp>Ask_Price1</stp>
        <tr r="F11" s="2"/>
      </tp>
      <tp>
        <v>0.40290000000000004</v>
        <stp/>
        <stp>90007581.SZ</stp>
        <stp>Ask_Price1</stp>
        <tr r="F79" s="2"/>
      </tp>
      <tp>
        <v>2.5000000000000001E-3</v>
        <stp/>
        <stp>90007631.SZ</stp>
        <stp>Ask_Price1</stp>
        <tr r="F69" s="2"/>
      </tp>
      <tp>
        <v>0.44950000000000001</v>
        <stp/>
        <stp>90007621.SZ</stp>
        <stp>Ask_Price1</stp>
        <tr r="F4" s="2"/>
      </tp>
      <tp>
        <v>8.0999999999999996E-3</v>
        <stp/>
        <stp>90007671.SZ</stp>
        <stp>Ask_Price1</stp>
        <tr r="F16" s="2"/>
      </tp>
      <tp>
        <v>0.49520000000000003</v>
        <stp/>
        <stp>90007711.SZ</stp>
        <stp>Ask_Price1</stp>
        <tr r="F92" s="2"/>
      </tp>
      <tp>
        <v>0.126</v>
        <stp/>
        <stp>90007701.SZ</stp>
        <stp>Ask_Price1</stp>
        <tr r="F24" s="2"/>
      </tp>
      <tp>
        <v>0.93</v>
        <stp/>
        <stp>90007071.SZ</stp>
        <stp>Ask_Price1</stp>
        <tr r="F34" s="2"/>
      </tp>
      <tp>
        <v>4.5900000000000003E-2</v>
        <stp/>
        <stp>90007081.SZ</stp>
        <stp>Ask_Price1</stp>
        <tr r="F102" s="2"/>
      </tp>
      <tp>
        <v>0.33290000000000003</v>
        <stp/>
        <stp>90007351.SZ</stp>
        <stp>Ask_Price1</stp>
        <tr r="F42" s="2"/>
      </tp>
      <tp>
        <v>7.9000000000000008E-3</v>
        <stp/>
        <stp>90007671.SZ</stp>
        <stp>Bid_Price1</stp>
        <tr r="E16" s="2"/>
      </tp>
      <tp>
        <v>0.43740000000000001</v>
        <stp/>
        <stp>90007621.SZ</stp>
        <stp>Bid_Price1</stp>
        <tr r="E4" s="2"/>
      </tp>
      <tp>
        <v>2.4000000000000002E-3</v>
        <stp/>
        <stp>90007631.SZ</stp>
        <stp>Bid_Price1</stp>
        <tr r="E69" s="2"/>
      </tp>
      <tp>
        <v>0.12590000000000001</v>
        <stp/>
        <stp>90007701.SZ</stp>
        <stp>Bid_Price1</stp>
        <tr r="E24" s="2"/>
      </tp>
      <tp>
        <v>0.4889</v>
        <stp/>
        <stp>90007711.SZ</stp>
        <stp>Bid_Price1</stp>
        <tr r="E92" s="2"/>
      </tp>
      <tp>
        <v>0.76380000000000003</v>
        <stp/>
        <stp>90007481.SZ</stp>
        <stp>Bid_Price1</stp>
        <tr r="E53" s="2"/>
      </tp>
      <tp>
        <v>0.22170000000000001</v>
        <stp/>
        <stp>90007421.SZ</stp>
        <stp>Bid_Price1</stp>
        <tr r="E122" s="2"/>
      </tp>
      <tp>
        <v>0.69450000000000001</v>
        <stp/>
        <stp>90007411.SZ</stp>
        <stp>Bid_Price1</stp>
        <tr r="E54" s="2"/>
      </tp>
      <tp>
        <v>0.40030000000000004</v>
        <stp/>
        <stp>90007581.SZ</stp>
        <stp>Bid_Price1</stp>
        <tr r="E79" s="2"/>
      </tp>
      <tp>
        <v>4.4600000000000001E-2</v>
        <stp/>
        <stp>90007571.SZ</stp>
        <stp>Bid_Price1</stp>
        <tr r="E11" s="2"/>
      </tp>
      <tp>
        <v>0.32380000000000003</v>
        <stp/>
        <stp>90007351.SZ</stp>
        <stp>Bid_Price1</stp>
        <tr r="E42" s="2"/>
      </tp>
      <tp>
        <v>4.5400000000000003E-2</v>
        <stp/>
        <stp>90007081.SZ</stp>
        <stp>Bid_Price1</stp>
        <tr r="E102" s="2"/>
      </tp>
      <tp>
        <v>0.91439999999999999</v>
        <stp/>
        <stp>90007071.SZ</stp>
        <stp>Bid_Price1</stp>
        <tr r="E34" s="2"/>
      </tp>
      <tp>
        <v>0.3876</v>
        <stp/>
        <stp>90007077.SZ</stp>
        <stp>ImpliedVol</stp>
        <tr r="K40" s="2"/>
      </tp>
      <tp>
        <v>0.4234</v>
        <stp/>
        <stp>90007137.SZ</stp>
        <stp>ImpliedVol</stp>
        <tr r="K31" s="2"/>
      </tp>
      <tp>
        <v>0.38980000000000004</v>
        <stp/>
        <stp>90007367.SZ</stp>
        <stp>ImpliedVol</stp>
        <tr r="K43" s="2"/>
      </tp>
      <tp>
        <v>0.39190000000000003</v>
        <stp/>
        <stp>90007387.SZ</stp>
        <stp>ImpliedVol</stp>
        <tr r="K44" s="2"/>
      </tp>
      <tp>
        <v>0.39050000000000001</v>
        <stp/>
        <stp>90007427.SZ</stp>
        <stp>ImpliedVol</stp>
        <tr r="K128" s="2"/>
      </tp>
      <tp>
        <v>0.39390000000000003</v>
        <stp/>
        <stp>90007417.SZ</stp>
        <stp>ImpliedVol</stp>
        <tr r="K60" s="2"/>
      </tp>
      <tp>
        <v>0.40030000000000004</v>
        <stp/>
        <stp>90007577.SZ</stp>
        <stp>ImpliedVol</stp>
        <tr r="K75" s="2"/>
      </tp>
      <tp>
        <v>0.39730000000000004</v>
        <stp/>
        <stp>90007567.SZ</stp>
        <stp>ImpliedVol</stp>
        <tr r="K7" s="2"/>
      </tp>
      <tp>
        <v>0.40300000000000002</v>
        <stp/>
        <stp>90007527.SZ</stp>
        <stp>ImpliedVol</stp>
        <tr r="K47" s="2"/>
      </tp>
      <tp>
        <v>0.41750000000000004</v>
        <stp/>
        <stp>90007657.SZ</stp>
        <stp>ImpliedVol</stp>
        <tr r="K50" s="2"/>
      </tp>
      <tp>
        <v>0.41320000000000001</v>
        <stp/>
        <stp>90007647.SZ</stp>
        <stp>ImpliedVol</stp>
        <tr r="K49" s="2"/>
      </tp>
      <tp>
        <v>0.38740000000000002</v>
        <stp/>
        <stp>90007697.SZ</stp>
        <stp>ImpliedVol</stp>
        <tr r="K20" s="2"/>
      </tp>
      <tp>
        <v>0.38700000000000001</v>
        <stp/>
        <stp>90007757.SZ</stp>
        <stp>ImpliedVol</stp>
        <tr r="K19" s="2"/>
      </tp>
      <tp>
        <v>0.38930000000000003</v>
        <stp/>
        <stp>90007707.SZ</stp>
        <stp>ImpliedVol</stp>
        <tr r="K88" s="2"/>
      </tp>
      <tp>
        <v>0.64600000000000002</v>
        <stp/>
        <stp>90007412.SZ</stp>
        <stp>Ask_Price1</stp>
        <tr r="F55" s="2"/>
      </tp>
      <tp>
        <v>0.27010000000000001</v>
        <stp/>
        <stp>90007422.SZ</stp>
        <stp>Ask_Price1</stp>
        <tr r="F123" s="2"/>
      </tp>
      <tp>
        <v>0.16350000000000001</v>
        <stp/>
        <stp>90007482.SZ</stp>
        <stp>Ask_Price1</stp>
        <tr r="F120" s="2"/>
      </tp>
      <tp>
        <v>3.0600000000000002E-2</v>
        <stp/>
        <stp>90007572.SZ</stp>
        <stp>Ask_Price1</stp>
        <tr r="F12" s="2"/>
      </tp>
      <tp>
        <v>0.49430000000000002</v>
        <stp/>
        <stp>90007582.SZ</stp>
        <stp>Ask_Price1</stp>
        <tr r="F80" s="2"/>
      </tp>
      <tp>
        <v>5.1000000000000004E-3</v>
        <stp/>
        <stp>90007632.SZ</stp>
        <stp>Ask_Price1</stp>
        <tr r="F70" s="2"/>
      </tp>
      <tp>
        <v>9.9000000000000008E-3</v>
        <stp/>
        <stp>90007622.SZ</stp>
        <stp>Ask_Price1</stp>
        <tr r="F71" s="2"/>
      </tp>
      <tp>
        <v>0.78200000000000003</v>
        <stp/>
        <stp>90007672.SZ</stp>
        <stp>Ask_Price1</stp>
        <tr r="F83" s="2"/>
      </tp>
      <tp>
        <v>0.57579999999999998</v>
        <stp/>
        <stp>90007712.SZ</stp>
        <stp>Ask_Price1</stp>
        <tr r="F93" s="2"/>
      </tp>
      <tp>
        <v>0.1014</v>
        <stp/>
        <stp>90007702.SZ</stp>
        <stp>Ask_Price1</stp>
        <tr r="F25" s="2"/>
      </tp>
      <tp>
        <v>0.83660000000000001</v>
        <stp/>
        <stp>90007072.SZ</stp>
        <stp>Ask_Price1</stp>
        <tr r="F35" s="2"/>
      </tp>
      <tp>
        <v>6.1400000000000003E-2</v>
        <stp/>
        <stp>90007082.SZ</stp>
        <stp>Ask_Price1</stp>
        <tr r="F103" s="2"/>
      </tp>
      <tp>
        <v>0.24710000000000001</v>
        <stp/>
        <stp>90007352.SZ</stp>
        <stp>Ask_Price1</stp>
        <tr r="F109" s="2"/>
      </tp>
      <tp>
        <v>0.7661</v>
        <stp/>
        <stp>90007672.SZ</stp>
        <stp>Bid_Price1</stp>
        <tr r="E83" s="2"/>
      </tp>
      <tp>
        <v>9.7000000000000003E-3</v>
        <stp/>
        <stp>90007622.SZ</stp>
        <stp>Bid_Price1</stp>
        <tr r="E71" s="2"/>
      </tp>
      <tp>
        <v>4.8999999999999998E-3</v>
        <stp/>
        <stp>90007632.SZ</stp>
        <stp>Bid_Price1</stp>
        <tr r="E70" s="2"/>
      </tp>
      <tp>
        <v>9.98E-2</v>
        <stp/>
        <stp>90007702.SZ</stp>
        <stp>Bid_Price1</stp>
        <tr r="E25" s="2"/>
      </tp>
      <tp>
        <v>0.56090000000000007</v>
        <stp/>
        <stp>90007712.SZ</stp>
        <stp>Bid_Price1</stp>
        <tr r="E93" s="2"/>
      </tp>
      <tp>
        <v>0.16</v>
        <stp/>
        <stp>90007482.SZ</stp>
        <stp>Bid_Price1</stp>
        <tr r="E120" s="2"/>
      </tp>
      <tp>
        <v>0.26</v>
        <stp/>
        <stp>90007422.SZ</stp>
        <stp>Bid_Price1</stp>
        <tr r="E123" s="2"/>
      </tp>
      <tp>
        <v>0.63070000000000004</v>
        <stp/>
        <stp>90007412.SZ</stp>
        <stp>Bid_Price1</stp>
        <tr r="E55" s="2"/>
      </tp>
      <tp>
        <v>0.48100000000000004</v>
        <stp/>
        <stp>90007582.SZ</stp>
        <stp>Bid_Price1</stp>
        <tr r="E80" s="2"/>
      </tp>
      <tp>
        <v>3.0500000000000003E-2</v>
        <stp/>
        <stp>90007572.SZ</stp>
        <stp>Bid_Price1</stp>
        <tr r="E12" s="2"/>
      </tp>
      <tp>
        <v>0.24070000000000003</v>
        <stp/>
        <stp>90007352.SZ</stp>
        <stp>Bid_Price1</stp>
        <tr r="E109" s="2"/>
      </tp>
      <tp>
        <v>5.9800000000000006E-2</v>
        <stp/>
        <stp>90007082.SZ</stp>
        <stp>Bid_Price1</stp>
        <tr r="E103" s="2"/>
      </tp>
      <tp>
        <v>0.81110000000000004</v>
        <stp/>
        <stp>90007072.SZ</stp>
        <stp>Bid_Price1</stp>
        <tr r="E35" s="2"/>
      </tp>
      <tp>
        <v>0.3952</v>
        <stp/>
        <stp>90007074.SZ</stp>
        <stp>ImpliedVol</stp>
        <tr r="K37" s="2"/>
      </tp>
      <tp>
        <v>0.39610000000000001</v>
        <stp/>
        <stp>90007084.SZ</stp>
        <stp>ImpliedVol</stp>
        <tr r="K105" s="2"/>
      </tp>
      <tp>
        <v>0.38980000000000004</v>
        <stp/>
        <stp>90007344.SZ</stp>
        <stp>ImpliedVol</stp>
        <tr r="K108" s="2"/>
      </tp>
      <tp>
        <v>0.44430000000000003</v>
        <stp/>
        <stp>90007324.SZ</stp>
        <stp>ImpliedVol</stp>
        <tr r="K97" s="2"/>
      </tp>
      <tp>
        <v>0.39430000000000004</v>
        <stp/>
        <stp>90007424.SZ</stp>
        <stp>ImpliedVol</stp>
        <tr r="K125" s="2"/>
      </tp>
      <tp>
        <v>0.3886</v>
        <stp/>
        <stp>90007414.SZ</stp>
        <stp>ImpliedVol</stp>
        <tr r="K57" s="2"/>
      </tp>
      <tp>
        <v>0.40200000000000002</v>
        <stp/>
        <stp>90007574.SZ</stp>
        <stp>ImpliedVol</stp>
        <tr r="K72" s="2"/>
      </tp>
      <tp>
        <v>0.40840000000000004</v>
        <stp/>
        <stp>90007544.SZ</stp>
        <stp>ImpliedVol</stp>
        <tr r="K115" s="2"/>
      </tp>
      <tp>
        <v>0.3947</v>
        <stp/>
        <stp>90007504.SZ</stp>
        <stp>ImpliedVol</stp>
        <tr r="K113" s="2"/>
      </tp>
      <tp>
        <v>0.41789999999999999</v>
        <stp/>
        <stp>90007674.SZ</stp>
        <stp>ImpliedVol</stp>
        <tr r="K118" s="2"/>
      </tp>
      <tp>
        <v>0.38750000000000001</v>
        <stp/>
        <stp>90007774.SZ</stp>
        <stp>ImpliedVol</stp>
        <tr r="K18" s="2"/>
      </tp>
      <tp>
        <v>0.4168</v>
        <stp/>
        <stp>90007754.SZ</stp>
        <stp>ImpliedVol</stp>
        <tr r="K96" s="2"/>
      </tp>
      <tp>
        <v>0.41810000000000003</v>
        <stp/>
        <stp>90007714.SZ</stp>
        <stp>ImpliedVol</stp>
        <tr r="K95" s="2"/>
      </tp>
      <tp>
        <v>0.40240000000000004</v>
        <stp/>
        <stp>90007704.SZ</stp>
        <stp>ImpliedVol</stp>
        <tr r="K27" s="2"/>
      </tp>
      <tp>
        <v>0.59989999999999999</v>
        <stp/>
        <stp>90007413.SZ</stp>
        <stp>Ask_Price1</stp>
        <tr r="F56" s="2"/>
      </tp>
      <tp>
        <v>0.3125</v>
        <stp/>
        <stp>90007423.SZ</stp>
        <stp>Ask_Price1</stp>
        <tr r="F124" s="2"/>
      </tp>
      <tp>
        <v>0.18090000000000001</v>
        <stp/>
        <stp>90007503.SZ</stp>
        <stp>Ask_Price1</stp>
        <tr r="F46" s="2"/>
      </tp>
      <tp>
        <v>0.12909999999999999</v>
        <stp/>
        <stp>90007543.SZ</stp>
        <stp>Ask_Price1</stp>
        <tr r="F48" s="2"/>
      </tp>
      <tp>
        <v>2.2100000000000002E-2</v>
        <stp/>
        <stp>90007573.SZ</stp>
        <stp>Ask_Price1</stp>
        <tr r="F13" s="2"/>
      </tp>
      <tp>
        <v>8.2500000000000004E-2</v>
        <stp/>
        <stp>90007673.SZ</stp>
        <stp>Ask_Price1</stp>
        <tr r="F51" s="2"/>
      </tp>
      <tp>
        <v>0.65</v>
        <stp/>
        <stp>90007713.SZ</stp>
        <stp>Ask_Price1</stp>
        <tr r="F94" s="2"/>
      </tp>
      <tp>
        <v>7.9000000000000001E-2</v>
        <stp/>
        <stp>90007703.SZ</stp>
        <stp>Ask_Price1</stp>
        <tr r="F26" s="2"/>
      </tp>
      <tp>
        <v>4.0300000000000002E-2</v>
        <stp/>
        <stp>90007753.SZ</stp>
        <stp>Ask_Price1</stp>
        <tr r="F29" s="2"/>
      </tp>
      <tp>
        <v>0.48660000000000003</v>
        <stp/>
        <stp>90007773.SZ</stp>
        <stp>Ask_Price1</stp>
        <tr r="F17" s="2"/>
      </tp>
      <tp>
        <v>0.75050000000000006</v>
        <stp/>
        <stp>90007073.SZ</stp>
        <stp>Ask_Price1</stp>
        <tr r="F36" s="2"/>
      </tp>
      <tp>
        <v>7.9700000000000007E-2</v>
        <stp/>
        <stp>90007083.SZ</stp>
        <stp>Ask_Price1</stp>
        <tr r="F104" s="2"/>
      </tp>
      <tp>
        <v>1.149</v>
        <stp/>
        <stp>90007323.SZ</stp>
        <stp>Ask_Price1</stp>
        <tr r="F30" s="2"/>
      </tp>
      <tp>
        <v>0.39630000000000004</v>
        <stp/>
        <stp>90007343.SZ</stp>
        <stp>Ask_Price1</stp>
        <tr r="F41" s="2"/>
      </tp>
      <tp>
        <v>8.1799999999999998E-2</v>
        <stp/>
        <stp>90007673.SZ</stp>
        <stp>Bid_Price1</stp>
        <tr r="E51" s="2"/>
      </tp>
      <tp>
        <v>0.47960000000000003</v>
        <stp/>
        <stp>90007773.SZ</stp>
        <stp>Bid_Price1</stp>
        <tr r="E17" s="2"/>
      </tp>
      <tp>
        <v>3.9400000000000004E-2</v>
        <stp/>
        <stp>90007753.SZ</stp>
        <stp>Bid_Price1</stp>
        <tr r="E29" s="2"/>
      </tp>
      <tp>
        <v>7.8899999999999998E-2</v>
        <stp/>
        <stp>90007703.SZ</stp>
        <stp>Bid_Price1</stp>
        <tr r="E26" s="2"/>
      </tp>
      <tp>
        <v>0.64380000000000004</v>
        <stp/>
        <stp>90007713.SZ</stp>
        <stp>Bid_Price1</stp>
        <tr r="E94" s="2"/>
      </tp>
      <tp>
        <v>0.30499999999999999</v>
        <stp/>
        <stp>90007423.SZ</stp>
        <stp>Bid_Price1</stp>
        <tr r="E124" s="2"/>
      </tp>
      <tp>
        <v>0.5706</v>
        <stp/>
        <stp>90007413.SZ</stp>
        <stp>Bid_Price1</stp>
        <tr r="E56" s="2"/>
      </tp>
      <tp>
        <v>2.2000000000000002E-2</v>
        <stp/>
        <stp>90007573.SZ</stp>
        <stp>Bid_Price1</stp>
        <tr r="E13" s="2"/>
      </tp>
      <tp>
        <v>0.1265</v>
        <stp/>
        <stp>90007543.SZ</stp>
        <stp>Bid_Price1</stp>
        <tr r="E48" s="2"/>
      </tp>
      <tp>
        <v>0.17700000000000002</v>
        <stp/>
        <stp>90007503.SZ</stp>
        <stp>Bid_Price1</stp>
        <tr r="E46" s="2"/>
      </tp>
      <tp>
        <v>0.38070000000000004</v>
        <stp/>
        <stp>90007343.SZ</stp>
        <stp>Bid_Price1</stp>
        <tr r="E41" s="2"/>
      </tp>
      <tp>
        <v>1.1274999999999999</v>
        <stp/>
        <stp>90007323.SZ</stp>
        <stp>Bid_Price1</stp>
        <tr r="E30" s="2"/>
      </tp>
      <tp>
        <v>7.740000000000001E-2</v>
        <stp/>
        <stp>90007083.SZ</stp>
        <stp>Bid_Price1</stp>
        <tr r="E104" s="2"/>
      </tp>
      <tp>
        <v>0.73</v>
        <stp/>
        <stp>90007073.SZ</stp>
        <stp>Bid_Price1</stp>
        <tr r="E36" s="2"/>
      </tp>
      <tp>
        <v>0.39250000000000002</v>
        <stp/>
        <stp>90007075.SZ</stp>
        <stp>ImpliedVol</stp>
        <tr r="K38" s="2"/>
      </tp>
      <tp>
        <v>0.39530000000000004</v>
        <stp/>
        <stp>90007085.SZ</stp>
        <stp>ImpliedVol</stp>
        <tr r="K106" s="2"/>
      </tp>
      <tp>
        <v>0.39590000000000003</v>
        <stp/>
        <stp>90007475.SZ</stp>
        <stp>ImpliedVol</stp>
        <tr r="K45" s="2"/>
      </tp>
      <tp>
        <v>0.39350000000000002</v>
        <stp/>
        <stp>90007425.SZ</stp>
        <stp>ImpliedVol</stp>
        <tr r="K126" s="2"/>
      </tp>
      <tp>
        <v>0.39300000000000002</v>
        <stp/>
        <stp>90007415.SZ</stp>
        <stp>ImpliedVol</stp>
        <tr r="K58" s="2"/>
      </tp>
      <tp>
        <v>0.40529999999999999</v>
        <stp/>
        <stp>90007485.SZ</stp>
        <stp>ImpliedVol</stp>
        <tr r="K52" s="2"/>
      </tp>
      <tp>
        <v>0.39850000000000002</v>
        <stp/>
        <stp>90007575.SZ</stp>
        <stp>ImpliedVol</stp>
        <tr r="K73" s="2"/>
      </tp>
      <tp>
        <v>0.4007</v>
        <stp/>
        <stp>90007565.SZ</stp>
        <stp>ImpliedVol</stp>
        <tr r="K5" s="2"/>
      </tp>
      <tp>
        <v>0.39540000000000003</v>
        <stp/>
        <stp>90007545.SZ</stp>
        <stp>ImpliedVol</stp>
        <tr r="K65" s="2"/>
      </tp>
      <tp>
        <v>0.39030000000000004</v>
        <stp/>
        <stp>90007505.SZ</stp>
        <stp>ImpliedVol</stp>
        <tr r="K63" s="2"/>
      </tp>
      <tp>
        <v>0.40160000000000001</v>
        <stp/>
        <stp>90007675.SZ</stp>
        <stp>ImpliedVol</stp>
        <tr r="K68" s="2"/>
      </tp>
      <tp>
        <v>0.51550000000000007</v>
        <stp/>
        <stp>90007655.SZ</stp>
        <stp>ImpliedVol</stp>
        <tr r="K15" s="2"/>
      </tp>
      <tp>
        <v>0.4859</v>
        <stp/>
        <stp>90007645.SZ</stp>
        <stp>ImpliedVol</stp>
        <tr r="K14" s="2"/>
      </tp>
      <tp>
        <v>0.39590000000000003</v>
        <stp/>
        <stp>90007775.SZ</stp>
        <stp>ImpliedVol</stp>
        <tr r="K84" s="2"/>
      </tp>
      <tp>
        <v>0.40429999999999999</v>
        <stp/>
        <stp>90007705.SZ</stp>
        <stp>ImpliedVol</stp>
        <tr r="K28" s="2"/>
      </tp>
      <tp>
        <v>0.54110000000000003</v>
        <stp/>
        <stp>90007414.SZ</stp>
        <stp>Ask_Price1</stp>
        <tr r="F57" s="2"/>
      </tp>
      <tp>
        <v>0.35610000000000003</v>
        <stp/>
        <stp>90007424.SZ</stp>
        <stp>Ask_Price1</stp>
        <tr r="F125" s="2"/>
      </tp>
      <tp>
        <v>0.5</v>
        <stp/>
        <stp>90007504.SZ</stp>
        <stp>Ask_Price1</stp>
        <tr r="F113" s="2"/>
      </tp>
      <tp>
        <v>0.65620000000000001</v>
        <stp/>
        <stp>90007544.SZ</stp>
        <stp>Ask_Price1</stp>
        <tr r="F115" s="2"/>
      </tp>
      <tp>
        <v>2.0200000000000003E-2</v>
        <stp/>
        <stp>90007574.SZ</stp>
        <stp>Ask_Price1</stp>
        <tr r="F72" s="2"/>
      </tp>
      <tp>
        <v>0.90980000000000005</v>
        <stp/>
        <stp>90007674.SZ</stp>
        <stp>Ask_Price1</stp>
        <tr r="F118" s="2"/>
      </tp>
      <tp>
        <v>0.74590000000000001</v>
        <stp/>
        <stp>90007714.SZ</stp>
        <stp>Ask_Price1</stp>
        <tr r="F95" s="2"/>
      </tp>
      <tp>
        <v>6.4100000000000004E-2</v>
        <stp/>
        <stp>90007704.SZ</stp>
        <stp>Ask_Price1</stp>
        <tr r="F27" s="2"/>
      </tp>
      <tp>
        <v>0.83540000000000003</v>
        <stp/>
        <stp>90007754.SZ</stp>
        <stp>Ask_Price1</stp>
        <tr r="F96" s="2"/>
      </tp>
      <tp>
        <v>0.41000000000000003</v>
        <stp/>
        <stp>90007774.SZ</stp>
        <stp>Ask_Price1</stp>
        <tr r="F18" s="2"/>
      </tp>
      <tp>
        <v>0.67510000000000003</v>
        <stp/>
        <stp>90007074.SZ</stp>
        <stp>Ask_Price1</stp>
        <tr r="F37" s="2"/>
      </tp>
      <tp>
        <v>0.10350000000000001</v>
        <stp/>
        <stp>90007084.SZ</stp>
        <stp>Ask_Price1</stp>
        <tr r="F105" s="2"/>
      </tp>
      <tp>
        <v>1.6500000000000001E-2</v>
        <stp/>
        <stp>90007324.SZ</stp>
        <stp>Ask_Price1</stp>
        <tr r="F97" s="2"/>
      </tp>
      <tp>
        <v>0.20220000000000002</v>
        <stp/>
        <stp>90007344.SZ</stp>
        <stp>Ask_Price1</stp>
        <tr r="F108" s="2"/>
      </tp>
      <tp>
        <v>0.87960000000000005</v>
        <stp/>
        <stp>90007674.SZ</stp>
        <stp>Bid_Price1</stp>
        <tr r="E118" s="2"/>
      </tp>
      <tp>
        <v>0.40970000000000001</v>
        <stp/>
        <stp>90007774.SZ</stp>
        <stp>Bid_Price1</stp>
        <tr r="E18" s="2"/>
      </tp>
      <tp>
        <v>0.81930000000000003</v>
        <stp/>
        <stp>90007754.SZ</stp>
        <stp>Bid_Price1</stp>
        <tr r="E96" s="2"/>
      </tp>
      <tp>
        <v>6.2400000000000004E-2</v>
        <stp/>
        <stp>90007704.SZ</stp>
        <stp>Bid_Price1</stp>
        <tr r="E27" s="2"/>
      </tp>
      <tp>
        <v>0.73020000000000007</v>
        <stp/>
        <stp>90007714.SZ</stp>
        <stp>Bid_Price1</stp>
        <tr r="E95" s="2"/>
      </tp>
      <tp>
        <v>0.34490000000000004</v>
        <stp/>
        <stp>90007424.SZ</stp>
        <stp>Bid_Price1</stp>
        <tr r="E125" s="2"/>
      </tp>
      <tp>
        <v>0.52580000000000005</v>
        <stp/>
        <stp>90007414.SZ</stp>
        <stp>Bid_Price1</stp>
        <tr r="E57" s="2"/>
      </tp>
      <tp>
        <v>0.02</v>
        <stp/>
        <stp>90007574.SZ</stp>
        <stp>Bid_Price1</stp>
        <tr r="E72" s="2"/>
      </tp>
      <tp>
        <v>0.63330000000000009</v>
        <stp/>
        <stp>90007544.SZ</stp>
        <stp>Bid_Price1</stp>
        <tr r="E115" s="2"/>
      </tp>
      <tp>
        <v>0.48040000000000005</v>
        <stp/>
        <stp>90007504.SZ</stp>
        <stp>Bid_Price1</stp>
        <tr r="E113" s="2"/>
      </tp>
      <tp>
        <v>0.19800000000000001</v>
        <stp/>
        <stp>90007344.SZ</stp>
        <stp>Bid_Price1</stp>
        <tr r="E108" s="2"/>
      </tp>
      <tp>
        <v>1.6400000000000001E-2</v>
        <stp/>
        <stp>90007324.SZ</stp>
        <stp>Bid_Price1</stp>
        <tr r="E97" s="2"/>
      </tp>
      <tp>
        <v>9.9000000000000005E-2</v>
        <stp/>
        <stp>90007084.SZ</stp>
        <stp>Bid_Price1</stp>
        <tr r="E105" s="2"/>
      </tp>
      <tp>
        <v>0.66</v>
        <stp/>
        <stp>90007074.SZ</stp>
        <stp>Bid_Price1</stp>
        <tr r="E37" s="2"/>
      </tp>
      <tp>
        <v>0.40390000000000004</v>
        <stp/>
        <stp>90007072.SZ</stp>
        <stp>ImpliedVol</stp>
        <tr r="K35" s="2"/>
      </tp>
      <tp>
        <v>0.40700000000000003</v>
        <stp/>
        <stp>90007082.SZ</stp>
        <stp>ImpliedVol</stp>
        <tr r="K103" s="2"/>
      </tp>
      <tp>
        <v>0.38820000000000005</v>
        <stp/>
        <stp>90007352.SZ</stp>
        <stp>ImpliedVol</stp>
        <tr r="K109" s="2"/>
      </tp>
      <tp>
        <v>0.39680000000000004</v>
        <stp/>
        <stp>90007422.SZ</stp>
        <stp>ImpliedVol</stp>
        <tr r="K123" s="2"/>
      </tp>
      <tp>
        <v>0.39350000000000002</v>
        <stp/>
        <stp>90007412.SZ</stp>
        <stp>ImpliedVol</stp>
        <tr r="K55" s="2"/>
      </tp>
      <tp>
        <v>0.40650000000000003</v>
        <stp/>
        <stp>90007482.SZ</stp>
        <stp>ImpliedVol</stp>
        <tr r="K120" s="2"/>
      </tp>
      <tp>
        <v>0.45150000000000001</v>
        <stp/>
        <stp>90007572.SZ</stp>
        <stp>ImpliedVol</stp>
        <tr r="K12" s="2"/>
      </tp>
      <tp>
        <v>0.46850000000000003</v>
        <stp/>
        <stp>90007582.SZ</stp>
        <stp>ImpliedVol</stp>
        <tr r="K80" s="2"/>
      </tp>
      <tp>
        <v>0.53360000000000007</v>
        <stp/>
        <stp>90007672.SZ</stp>
        <stp>ImpliedVol</stp>
        <tr r="K83" s="2"/>
      </tp>
      <tp>
        <v>0.42320000000000002</v>
        <stp/>
        <stp>90007632.SZ</stp>
        <stp>ImpliedVol</stp>
        <tr r="K70" s="2"/>
      </tp>
      <tp>
        <v>0.40570000000000001</v>
        <stp/>
        <stp>90007622.SZ</stp>
        <stp>ImpliedVol</stp>
        <tr r="K71" s="2"/>
      </tp>
      <tp>
        <v>0.39860000000000001</v>
        <stp/>
        <stp>90007712.SZ</stp>
        <stp>ImpliedVol</stp>
        <tr r="K93" s="2"/>
      </tp>
      <tp>
        <v>0.39690000000000003</v>
        <stp/>
        <stp>90007702.SZ</stp>
        <stp>ImpliedVol</stp>
        <tr r="K25" s="2"/>
      </tp>
      <tp>
        <v>0.4874</v>
        <stp/>
        <stp>90007415.SZ</stp>
        <stp>Ask_Price1</stp>
        <tr r="F58" s="2"/>
      </tp>
      <tp>
        <v>0.40990000000000004</v>
        <stp/>
        <stp>90007425.SZ</stp>
        <stp>Ask_Price1</stp>
        <tr r="F126" s="2"/>
      </tp>
      <tp>
        <v>0.21330000000000002</v>
        <stp/>
        <stp>90007475.SZ</stp>
        <stp>Ask_Price1</stp>
        <tr r="F45" s="2"/>
      </tp>
      <tp>
        <v>0.86</v>
        <stp/>
        <stp>90007485.SZ</stp>
        <stp>Ask_Price1</stp>
        <tr r="F52" s="2"/>
      </tp>
      <tp>
        <v>0.28200000000000003</v>
        <stp/>
        <stp>90007505.SZ</stp>
        <stp>Ask_Price1</stp>
        <tr r="F63" s="2"/>
      </tp>
      <tp>
        <v>0.2195</v>
        <stp/>
        <stp>90007545.SZ</stp>
        <stp>Ask_Price1</stp>
        <tr r="F65" s="2"/>
      </tp>
      <tp>
        <v>3.7700000000000004E-2</v>
        <stp/>
        <stp>90007575.SZ</stp>
        <stp>Ask_Price1</stp>
        <tr r="F73" s="2"/>
      </tp>
      <tp>
        <v>0.35620000000000002</v>
        <stp/>
        <stp>90007565.SZ</stp>
        <stp>Ask_Price1</stp>
        <tr r="F5" s="2"/>
      </tp>
      <tp>
        <v>1.1600000000000001E-2</v>
        <stp/>
        <stp>90007655.SZ</stp>
        <stp>Ask_Price1</stp>
        <tr r="F15" s="2"/>
      </tp>
      <tp>
        <v>1.4700000000000001E-2</v>
        <stp/>
        <stp>90007645.SZ</stp>
        <stp>Ask_Price1</stp>
        <tr r="F14" s="2"/>
      </tp>
      <tp>
        <v>0.16</v>
        <stp/>
        <stp>90007675.SZ</stp>
        <stp>Ask_Price1</stp>
        <tr r="F68" s="2"/>
      </tp>
      <tp>
        <v>5.0300000000000004E-2</v>
        <stp/>
        <stp>90007705.SZ</stp>
        <stp>Ask_Price1</stp>
        <tr r="F28" s="2"/>
      </tp>
      <tp>
        <v>7.6499999999999999E-2</v>
        <stp/>
        <stp>90007775.SZ</stp>
        <stp>Ask_Price1</stp>
        <tr r="F84" s="2"/>
      </tp>
      <tp>
        <v>0.59740000000000004</v>
        <stp/>
        <stp>90007075.SZ</stp>
        <stp>Ask_Price1</stp>
        <tr r="F38" s="2"/>
      </tp>
      <tp>
        <v>0.13</v>
        <stp/>
        <stp>90007085.SZ</stp>
        <stp>Ask_Price1</stp>
        <tr r="F106" s="2"/>
      </tp>
      <tp>
        <v>0.15890000000000001</v>
        <stp/>
        <stp>90007675.SZ</stp>
        <stp>Bid_Price1</stp>
        <tr r="E68" s="2"/>
      </tp>
      <tp>
        <v>1.46E-2</v>
        <stp/>
        <stp>90007645.SZ</stp>
        <stp>Bid_Price1</stp>
        <tr r="E14" s="2"/>
      </tp>
      <tp>
        <v>1.15E-2</v>
        <stp/>
        <stp>90007655.SZ</stp>
        <stp>Bid_Price1</stp>
        <tr r="E15" s="2"/>
      </tp>
      <tp>
        <v>7.6300000000000007E-2</v>
        <stp/>
        <stp>90007775.SZ</stp>
        <stp>Bid_Price1</stp>
        <tr r="E84" s="2"/>
      </tp>
      <tp>
        <v>0.05</v>
        <stp/>
        <stp>90007705.SZ</stp>
        <stp>Bid_Price1</stp>
        <tr r="E28" s="2"/>
      </tp>
      <tp>
        <v>0.83560000000000001</v>
        <stp/>
        <stp>90007485.SZ</stp>
        <stp>Bid_Price1</stp>
        <tr r="E52" s="2"/>
      </tp>
      <tp>
        <v>0.20810000000000001</v>
        <stp/>
        <stp>90007475.SZ</stp>
        <stp>Bid_Price1</stp>
        <tr r="E45" s="2"/>
      </tp>
      <tp>
        <v>0.39500000000000002</v>
        <stp/>
        <stp>90007425.SZ</stp>
        <stp>Bid_Price1</stp>
        <tr r="E126" s="2"/>
      </tp>
      <tp>
        <v>0.46360000000000001</v>
        <stp/>
        <stp>90007415.SZ</stp>
        <stp>Bid_Price1</stp>
        <tr r="E58" s="2"/>
      </tp>
      <tp>
        <v>0.34900000000000003</v>
        <stp/>
        <stp>90007565.SZ</stp>
        <stp>Bid_Price1</stp>
        <tr r="E5" s="2"/>
      </tp>
      <tp>
        <v>3.7600000000000001E-2</v>
        <stp/>
        <stp>90007575.SZ</stp>
        <stp>Bid_Price1</stp>
        <tr r="E73" s="2"/>
      </tp>
      <tp>
        <v>0.2152</v>
        <stp/>
        <stp>90007545.SZ</stp>
        <stp>Bid_Price1</stp>
        <tr r="E65" s="2"/>
      </tp>
      <tp>
        <v>0.26830000000000004</v>
        <stp/>
        <stp>90007505.SZ</stp>
        <stp>Bid_Price1</stp>
        <tr r="E63" s="2"/>
      </tp>
      <tp>
        <v>0.1295</v>
        <stp/>
        <stp>90007085.SZ</stp>
        <stp>Bid_Price1</stp>
        <tr r="E106" s="2"/>
      </tp>
      <tp>
        <v>0.57040000000000002</v>
        <stp/>
        <stp>90007075.SZ</stp>
        <stp>Bid_Price1</stp>
        <tr r="E38" s="2"/>
      </tp>
      <tp>
        <v>0.41070000000000001</v>
        <stp/>
        <stp>90007073.SZ</stp>
        <stp>ImpliedVol</stp>
        <tr r="K36" s="2"/>
      </tp>
      <tp>
        <v>0.40060000000000001</v>
        <stp/>
        <stp>90007083.SZ</stp>
        <stp>ImpliedVol</stp>
        <tr r="K104" s="2"/>
      </tp>
      <tp>
        <v>0.38550000000000001</v>
        <stp/>
        <stp>90007343.SZ</stp>
        <stp>ImpliedVol</stp>
        <tr r="K41" s="2"/>
      </tp>
      <tp>
        <v>0.44309999999999999</v>
        <stp/>
        <stp>90007323.SZ</stp>
        <stp>ImpliedVol</stp>
        <tr r="K30" s="2"/>
      </tp>
      <tp>
        <v>0.39119999999999999</v>
        <stp/>
        <stp>90007423.SZ</stp>
        <stp>ImpliedVol</stp>
        <tr r="K124" s="2"/>
      </tp>
      <tp>
        <v>0.3992</v>
        <stp/>
        <stp>90007413.SZ</stp>
        <stp>ImpliedVol</stp>
        <tr r="K56" s="2"/>
      </tp>
      <tp>
        <v>0.47500000000000003</v>
        <stp/>
        <stp>90007573.SZ</stp>
        <stp>ImpliedVol</stp>
        <tr r="K13" s="2"/>
      </tp>
      <tp>
        <v>0.40720000000000001</v>
        <stp/>
        <stp>90007543.SZ</stp>
        <stp>ImpliedVol</stp>
        <tr r="K48" s="2"/>
      </tp>
      <tp>
        <v>0.39940000000000003</v>
        <stp/>
        <stp>90007503.SZ</stp>
        <stp>ImpliedVol</stp>
        <tr r="K46" s="2"/>
      </tp>
      <tp>
        <v>0.42000000000000004</v>
        <stp/>
        <stp>90007673.SZ</stp>
        <stp>ImpliedVol</stp>
        <tr r="K51" s="2"/>
      </tp>
      <tp>
        <v>0.39750000000000002</v>
        <stp/>
        <stp>90007773.SZ</stp>
        <stp>ImpliedVol</stp>
        <tr r="K17" s="2"/>
      </tp>
      <tp>
        <v>0.4103</v>
        <stp/>
        <stp>90007753.SZ</stp>
        <stp>ImpliedVol</stp>
        <tr r="K29" s="2"/>
      </tp>
      <tp>
        <v>0.40860000000000002</v>
        <stp/>
        <stp>90007713.SZ</stp>
        <stp>ImpliedVol</stp>
        <tr r="K94" s="2"/>
      </tp>
      <tp>
        <v>0.39690000000000003</v>
        <stp/>
        <stp>90007703.SZ</stp>
        <stp>ImpliedVol</stp>
        <tr r="K26" s="2"/>
      </tp>
      <tp>
        <v>0.43149999999999999</v>
        <stp/>
        <stp>90007416.SZ</stp>
        <stp>Ask_Price1</stp>
        <tr r="F59" s="2"/>
      </tp>
      <tp>
        <v>0.46200000000000002</v>
        <stp/>
        <stp>90007426.SZ</stp>
        <stp>Ask_Price1</stp>
        <tr r="F127" s="2"/>
      </tp>
      <tp>
        <v>0.43180000000000002</v>
        <stp/>
        <stp>90007476.SZ</stp>
        <stp>Ask_Price1</stp>
        <tr r="F112" s="2"/>
      </tp>
      <tp>
        <v>0.1394</v>
        <stp/>
        <stp>90007486.SZ</stp>
        <stp>Ask_Price1</stp>
        <tr r="F119" s="2"/>
      </tp>
      <tp>
        <v>0.66339999999999999</v>
        <stp/>
        <stp>90007506.SZ</stp>
        <stp>Ask_Price1</stp>
        <tr r="F130" s="2"/>
      </tp>
      <tp>
        <v>0.80930000000000002</v>
        <stp/>
        <stp>90007546.SZ</stp>
        <stp>Ask_Price1</stp>
        <tr r="F132" s="2"/>
      </tp>
      <tp>
        <v>6.54E-2</v>
        <stp/>
        <stp>90007576.SZ</stp>
        <stp>Ask_Price1</stp>
        <tr r="F74" s="2"/>
      </tp>
      <tp>
        <v>0.27030000000000004</v>
        <stp/>
        <stp>90007566.SZ</stp>
        <stp>Ask_Price1</stp>
        <tr r="F6" s="2"/>
      </tp>
      <tp>
        <v>0.67800000000000005</v>
        <stp/>
        <stp>90007656.SZ</stp>
        <stp>Ask_Price1</stp>
        <tr r="F82" s="2"/>
      </tp>
      <tp>
        <v>0.5887</v>
        <stp/>
        <stp>90007646.SZ</stp>
        <stp>Ask_Price1</stp>
        <tr r="F81" s="2"/>
      </tp>
      <tp>
        <v>1.048</v>
        <stp/>
        <stp>90007676.SZ</stp>
        <stp>Ask_Price1</stp>
        <tr r="F135" s="2"/>
      </tp>
      <tp>
        <v>0.1782</v>
        <stp/>
        <stp>90007706.SZ</stp>
        <stp>Ask_Price1</stp>
        <tr r="F87" s="2"/>
      </tp>
      <tp>
        <v>0.1051</v>
        <stp/>
        <stp>90007776.SZ</stp>
        <stp>Ask_Price1</stp>
        <tr r="F85" s="2"/>
      </tp>
      <tp>
        <v>0.52529999999999999</v>
        <stp/>
        <stp>90007076.SZ</stp>
        <stp>Ask_Price1</stp>
        <tr r="F39" s="2"/>
      </tp>
      <tp>
        <v>0.16190000000000002</v>
        <stp/>
        <stp>90007086.SZ</stp>
        <stp>Ask_Price1</stp>
        <tr r="F107" s="2"/>
      </tp>
      <tp>
        <v>1.0107000000000002</v>
        <stp/>
        <stp>90007676.SZ</stp>
        <stp>Bid_Price1</stp>
        <tr r="E135" s="2"/>
      </tp>
      <tp>
        <v>0.57350000000000001</v>
        <stp/>
        <stp>90007646.SZ</stp>
        <stp>Bid_Price1</stp>
        <tr r="E81" s="2"/>
      </tp>
      <tp>
        <v>0.66970000000000007</v>
        <stp/>
        <stp>90007656.SZ</stp>
        <stp>Bid_Price1</stp>
        <tr r="E82" s="2"/>
      </tp>
      <tp>
        <v>0.10500000000000001</v>
        <stp/>
        <stp>90007776.SZ</stp>
        <stp>Bid_Price1</stp>
        <tr r="E85" s="2"/>
      </tp>
      <tp>
        <v>0.17650000000000002</v>
        <stp/>
        <stp>90007706.SZ</stp>
        <stp>Bid_Price1</stp>
        <tr r="E87" s="2"/>
      </tp>
      <tp>
        <v>0.1361</v>
        <stp/>
        <stp>90007486.SZ</stp>
        <stp>Bid_Price1</stp>
        <tr r="E119" s="2"/>
      </tp>
      <tp>
        <v>0.41240000000000004</v>
        <stp/>
        <stp>90007476.SZ</stp>
        <stp>Bid_Price1</stp>
        <tr r="E112" s="2"/>
      </tp>
      <tp>
        <v>0.45</v>
        <stp/>
        <stp>90007426.SZ</stp>
        <stp>Bid_Price1</stp>
        <tr r="E127" s="2"/>
      </tp>
      <tp>
        <v>0.41650000000000004</v>
        <stp/>
        <stp>90007416.SZ</stp>
        <stp>Bid_Price1</stp>
        <tr r="E59" s="2"/>
      </tp>
      <tp>
        <v>0.26750000000000002</v>
        <stp/>
        <stp>90007566.SZ</stp>
        <stp>Bid_Price1</stp>
        <tr r="E6" s="2"/>
      </tp>
      <tp>
        <v>6.5299999999999997E-2</v>
        <stp/>
        <stp>90007576.SZ</stp>
        <stp>Bid_Price1</stp>
        <tr r="E74" s="2"/>
      </tp>
      <tp>
        <v>0.7762</v>
        <stp/>
        <stp>90007546.SZ</stp>
        <stp>Bid_Price1</stp>
        <tr r="E132" s="2"/>
      </tp>
      <tp>
        <v>0.6401</v>
        <stp/>
        <stp>90007506.SZ</stp>
        <stp>Bid_Price1</stp>
        <tr r="E130" s="2"/>
      </tp>
      <tp>
        <v>0.15960000000000002</v>
        <stp/>
        <stp>90007086.SZ</stp>
        <stp>Bid_Price1</stp>
        <tr r="E107" s="2"/>
      </tp>
      <tp>
        <v>0.50019999999999998</v>
        <stp/>
        <stp>90007076.SZ</stp>
        <stp>Bid_Price1</stp>
        <tr r="E39" s="2"/>
      </tp>
      <tp>
        <v>0.42100000000000004</v>
        <stp/>
        <stp>90007070.SZ</stp>
        <stp>ImpliedVol</stp>
        <tr r="K33" s="2"/>
      </tp>
      <tp>
        <v>0.42220000000000002</v>
        <stp/>
        <stp>90007080.SZ</stp>
        <stp>ImpliedVol</stp>
        <tr r="K101" s="2"/>
      </tp>
      <tp>
        <v>0.4027</v>
        <stp/>
        <stp>90007420.SZ</stp>
        <stp>ImpliedVol</stp>
        <tr r="K121" s="2"/>
      </tp>
      <tp>
        <v>0.41800000000000004</v>
        <stp/>
        <stp>90007570.SZ</stp>
        <stp>ImpliedVol</stp>
        <tr r="K10" s="2"/>
      </tp>
      <tp>
        <v>0</v>
        <stp/>
        <stp>90007530.SZ</stp>
        <stp>ImpliedVol</stp>
        <tr r="K131" s="2"/>
      </tp>
      <tp>
        <v>0.44340000000000002</v>
        <stp/>
        <stp>90007580.SZ</stp>
        <stp>ImpliedVol</stp>
        <tr r="K78" s="2"/>
      </tp>
      <tp>
        <v>0</v>
        <stp/>
        <stp>90007660.SZ</stp>
        <stp>ImpliedVol</stp>
        <tr r="K134" s="2"/>
      </tp>
      <tp>
        <v>0.39080000000000004</v>
        <stp/>
        <stp>90007650.SZ</stp>
        <stp>ImpliedVol</stp>
        <tr r="K133" s="2"/>
      </tp>
      <tp>
        <v>0.40050000000000002</v>
        <stp/>
        <stp>90007630.SZ</stp>
        <stp>ImpliedVol</stp>
        <tr r="K3" s="2"/>
      </tp>
      <tp>
        <v>0.39540000000000003</v>
        <stp/>
        <stp>90007710.SZ</stp>
        <stp>ImpliedVol</stp>
        <tr r="K91" s="2"/>
      </tp>
      <tp>
        <v>0.39169999999999999</v>
        <stp/>
        <stp>90007700.SZ</stp>
        <stp>ImpliedVol</stp>
        <tr r="K23" s="2"/>
      </tp>
      <tp>
        <v>0.39280000000000004</v>
        <stp/>
        <stp>90007417.SZ</stp>
        <stp>Ask_Price1</stp>
        <tr r="F60" s="2"/>
      </tp>
      <tp>
        <v>0.52500000000000002</v>
        <stp/>
        <stp>90007427.SZ</stp>
        <stp>Ask_Price1</stp>
        <tr r="F128" s="2"/>
      </tp>
      <tp>
        <v>0.15240000000000001</v>
        <stp/>
        <stp>90007527.SZ</stp>
        <stp>Ask_Price1</stp>
        <tr r="F47" s="2"/>
      </tp>
      <tp>
        <v>0.1076</v>
        <stp/>
        <stp>90007577.SZ</stp>
        <stp>Ask_Price1</stp>
        <tr r="F75" s="2"/>
      </tp>
      <tp>
        <v>0.19940000000000002</v>
        <stp/>
        <stp>90007567.SZ</stp>
        <stp>Ask_Price1</stp>
        <tr r="F7" s="2"/>
      </tp>
      <tp>
        <v>9.7700000000000009E-2</v>
        <stp/>
        <stp>90007657.SZ</stp>
        <stp>Ask_Price1</stp>
        <tr r="F50" s="2"/>
      </tp>
      <tp>
        <v>0.1139</v>
        <stp/>
        <stp>90007647.SZ</stp>
        <stp>Ask_Price1</stp>
        <tr r="F49" s="2"/>
      </tp>
      <tp>
        <v>0.2883</v>
        <stp/>
        <stp>90007697.SZ</stp>
        <stp>Ask_Price1</stp>
        <tr r="F20" s="2"/>
      </tp>
      <tp>
        <v>0.2306</v>
        <stp/>
        <stp>90007707.SZ</stp>
        <stp>Ask_Price1</stp>
        <tr r="F88" s="2"/>
      </tp>
      <tp>
        <v>0.35270000000000001</v>
        <stp/>
        <stp>90007757.SZ</stp>
        <stp>Ask_Price1</stp>
        <tr r="F19" s="2"/>
      </tp>
      <tp>
        <v>0.45200000000000001</v>
        <stp/>
        <stp>90007077.SZ</stp>
        <stp>Ask_Price1</stp>
        <tr r="F40" s="2"/>
      </tp>
      <tp>
        <v>1.1161000000000001</v>
        <stp/>
        <stp>90007137.SZ</stp>
        <stp>Ask_Price1</stp>
        <tr r="F31" s="2"/>
      </tp>
      <tp>
        <v>0.2868</v>
        <stp/>
        <stp>90007367.SZ</stp>
        <stp>Ask_Price1</stp>
        <tr r="F43" s="2"/>
      </tp>
      <tp>
        <v>0.2495</v>
        <stp/>
        <stp>90007387.SZ</stp>
        <stp>Ask_Price1</stp>
        <tr r="F44" s="2"/>
      </tp>
      <tp>
        <v>0.28560000000000002</v>
        <stp/>
        <stp>90007697.SZ</stp>
        <stp>Bid_Price1</stp>
        <tr r="E20" s="2"/>
      </tp>
      <tp>
        <v>0.10830000000000001</v>
        <stp/>
        <stp>90007647.SZ</stp>
        <stp>Bid_Price1</stp>
        <tr r="E49" s="2"/>
      </tp>
      <tp>
        <v>9.35E-2</v>
        <stp/>
        <stp>90007657.SZ</stp>
        <stp>Bid_Price1</stp>
        <tr r="E50" s="2"/>
      </tp>
      <tp>
        <v>0.34320000000000001</v>
        <stp/>
        <stp>90007757.SZ</stp>
        <stp>Bid_Price1</stp>
        <tr r="E19" s="2"/>
      </tp>
      <tp>
        <v>0.22500000000000001</v>
        <stp/>
        <stp>90007707.SZ</stp>
        <stp>Bid_Price1</stp>
        <tr r="E88" s="2"/>
      </tp>
      <tp>
        <v>0.51500000000000001</v>
        <stp/>
        <stp>90007427.SZ</stp>
        <stp>Bid_Price1</stp>
        <tr r="E128" s="2"/>
      </tp>
      <tp>
        <v>0.37770000000000004</v>
        <stp/>
        <stp>90007417.SZ</stp>
        <stp>Bid_Price1</stp>
        <tr r="E60" s="2"/>
      </tp>
      <tp>
        <v>0.1991</v>
        <stp/>
        <stp>90007567.SZ</stp>
        <stp>Bid_Price1</stp>
        <tr r="E7" s="2"/>
      </tp>
      <tp>
        <v>0.1066</v>
        <stp/>
        <stp>90007577.SZ</stp>
        <stp>Bid_Price1</stp>
        <tr r="E75" s="2"/>
      </tp>
      <tp>
        <v>0.152</v>
        <stp/>
        <stp>90007527.SZ</stp>
        <stp>Bid_Price1</stp>
        <tr r="E47" s="2"/>
      </tp>
      <tp>
        <v>0.24350000000000002</v>
        <stp/>
        <stp>90007387.SZ</stp>
        <stp>Bid_Price1</stp>
        <tr r="E44" s="2"/>
      </tp>
      <tp>
        <v>0.28520000000000001</v>
        <stp/>
        <stp>90007367.SZ</stp>
        <stp>Bid_Price1</stp>
        <tr r="E43" s="2"/>
      </tp>
      <tp>
        <v>0.43560000000000004</v>
        <stp/>
        <stp>90007077.SZ</stp>
        <stp>Bid_Price1</stp>
        <tr r="E40" s="2"/>
      </tp>
      <tp>
        <v>1.0804</v>
        <stp/>
        <stp>90007137.SZ</stp>
        <stp>Bid_Price1</stp>
        <tr r="E31" s="2"/>
      </tp>
      <tp>
        <v>0.41440000000000005</v>
        <stp/>
        <stp>90007071.SZ</stp>
        <stp>ImpliedVol</stp>
        <tr r="K34" s="2"/>
      </tp>
      <tp>
        <v>0.41460000000000002</v>
        <stp/>
        <stp>90007081.SZ</stp>
        <stp>ImpliedVol</stp>
        <tr r="K102" s="2"/>
      </tp>
      <tp>
        <v>0.38880000000000003</v>
        <stp/>
        <stp>90007351.SZ</stp>
        <stp>ImpliedVol</stp>
        <tr r="K42" s="2"/>
      </tp>
      <tp>
        <v>0.40030000000000004</v>
        <stp/>
        <stp>90007421.SZ</stp>
        <stp>ImpliedVol</stp>
        <tr r="K122" s="2"/>
      </tp>
      <tp>
        <v>0.3982</v>
        <stp/>
        <stp>90007411.SZ</stp>
        <stp>ImpliedVol</stp>
        <tr r="K54" s="2"/>
      </tp>
      <tp>
        <v>0.40280000000000005</v>
        <stp/>
        <stp>90007481.SZ</stp>
        <stp>ImpliedVol</stp>
        <tr r="K53" s="2"/>
      </tp>
      <tp>
        <v>0.43420000000000003</v>
        <stp/>
        <stp>90007571.SZ</stp>
        <stp>ImpliedVol</stp>
        <tr r="K11" s="2"/>
      </tp>
      <tp>
        <v>0.4461</v>
        <stp/>
        <stp>90007581.SZ</stp>
        <stp>ImpliedVol</stp>
        <tr r="K79" s="2"/>
      </tp>
      <tp>
        <v>0.52910000000000001</v>
        <stp/>
        <stp>90007671.SZ</stp>
        <stp>ImpliedVol</stp>
        <tr r="K16" s="2"/>
      </tp>
      <tp>
        <v>0.4355</v>
        <stp/>
        <stp>90007631.SZ</stp>
        <stp>ImpliedVol</stp>
        <tr r="K69" s="2"/>
      </tp>
      <tp>
        <v>0.41100000000000003</v>
        <stp/>
        <stp>90007621.SZ</stp>
        <stp>ImpliedVol</stp>
        <tr r="K4" s="2"/>
      </tp>
      <tp>
        <v>0.39810000000000001</v>
        <stp/>
        <stp>90007711.SZ</stp>
        <stp>ImpliedVol</stp>
        <tr r="K92" s="2"/>
      </tp>
      <tp>
        <v>0.3931</v>
        <stp/>
        <stp>90007701.SZ</stp>
        <stp>ImpliedVol</stp>
        <tr r="K24" s="2"/>
      </tp>
    </main>
    <main first="wdf.rtq">
      <tp>
        <v>-18.71</v>
        <stp/>
        <stp>90007079.SZ</stp>
        <stp>PctChg</stp>
        <tr r="H100" s="2"/>
      </tp>
      <tp>
        <v>0.63</v>
        <stp/>
        <stp>90007069.SZ</stp>
        <stp>PctChg</stp>
        <tr r="H32" s="2"/>
      </tp>
      <tp>
        <v>38.730000000000004</v>
        <stp/>
        <stp>90007419.SZ</stp>
        <stp>PctChg</stp>
        <tr r="H62" s="2"/>
      </tp>
      <tp>
        <v>-36.380000000000003</v>
        <stp/>
        <stp>90007579.SZ</stp>
        <stp>PctChg</stp>
        <tr r="H77" s="2"/>
      </tp>
      <tp>
        <v>121.56</v>
        <stp/>
        <stp>90007569.SZ</stp>
        <stp>PctChg</stp>
        <tr r="H9" s="2"/>
      </tp>
      <tp>
        <v>43.55</v>
        <stp/>
        <stp>90007529.SZ</stp>
        <stp>PctChg</stp>
        <tr r="H64" s="2"/>
      </tp>
      <tp>
        <v>49.46</v>
        <stp/>
        <stp>90007659.SZ</stp>
        <stp>PctChg</stp>
        <tr r="H67" s="2"/>
      </tp>
      <tp>
        <v>45.690000000000005</v>
        <stp/>
        <stp>90007649.SZ</stp>
        <stp>PctChg</stp>
        <tr r="H66" s="2"/>
      </tp>
      <tp>
        <v>34.440000000000005</v>
        <stp/>
        <stp>90007629.SZ</stp>
        <stp>PctChg</stp>
        <tr r="H2" s="2"/>
      </tp>
      <tp>
        <v>58.24</v>
        <stp/>
        <stp>90007699.SZ</stp>
        <stp>PctChg</stp>
        <tr r="H22" s="2"/>
      </tp>
      <tp>
        <v>-23.290000000000003</v>
        <stp/>
        <stp>90007709.SZ</stp>
        <stp>PctChg</stp>
        <tr r="H90" s="2"/>
      </tp>
    </main>
    <main first="wdf.rtq">
      <tp>
        <v>-16.850000000000001</v>
        <stp/>
        <stp>90007078.SZ</stp>
        <stp>PctChg</stp>
        <tr r="H99" s="2"/>
      </tp>
      <tp>
        <v>-15.110000000000001</v>
        <stp/>
        <stp>90007138.SZ</stp>
        <stp>PctChg</stp>
        <tr r="H98" s="2"/>
      </tp>
      <tp>
        <v>-21.150000000000002</v>
        <stp/>
        <stp>90007368.SZ</stp>
        <stp>PctChg</stp>
        <tr r="H110" s="2"/>
      </tp>
      <tp>
        <v>-19.38</v>
        <stp/>
        <stp>90007388.SZ</stp>
        <stp>PctChg</stp>
        <tr r="H111" s="2"/>
      </tp>
      <tp>
        <v>-13.38</v>
        <stp/>
        <stp>90007428.SZ</stp>
        <stp>PctChg</stp>
        <tr r="H129" s="2"/>
      </tp>
      <tp>
        <v>37.96</v>
        <stp/>
        <stp>90007418.SZ</stp>
        <stp>PctChg</stp>
        <tr r="H61" s="2"/>
      </tp>
      <tp>
        <v>-41.040000000000006</v>
        <stp/>
        <stp>90007578.SZ</stp>
        <stp>PctChg</stp>
        <tr r="H76" s="2"/>
      </tp>
      <tp>
        <v>109.52</v>
        <stp/>
        <stp>90007568.SZ</stp>
        <stp>PctChg</stp>
        <tr r="H8" s="2"/>
      </tp>
      <tp>
        <v>-17.150000000000002</v>
        <stp/>
        <stp>90007528.SZ</stp>
        <stp>PctChg</stp>
        <tr r="H114" s="2"/>
      </tp>
      <tp>
        <v>-4.87</v>
        <stp/>
        <stp>90007658.SZ</stp>
        <stp>PctChg</stp>
        <tr r="H117" s="2"/>
      </tp>
      <tp>
        <v>-14.850000000000001</v>
        <stp/>
        <stp>90007648.SZ</stp>
        <stp>PctChg</stp>
        <tr r="H116" s="2"/>
      </tp>
      <tp>
        <v>56.03</v>
        <stp/>
        <stp>90007698.SZ</stp>
        <stp>PctChg</stp>
        <tr r="H21" s="2"/>
      </tp>
      <tp>
        <v>-32.14</v>
        <stp/>
        <stp>90007758.SZ</stp>
        <stp>PctChg</stp>
        <tr r="H86" s="2"/>
      </tp>
      <tp>
        <v>-24.95</v>
        <stp/>
        <stp>90007708.SZ</stp>
        <stp>PctChg</stp>
        <tr r="H89" s="2"/>
      </tp>
    </main>
    <main first="wdf.rtq">
      <tp>
        <v>24.1</v>
        <stp/>
        <stp>90007073.SZ</stp>
        <stp>PctChg</stp>
        <tr r="H36" s="2"/>
      </tp>
      <tp>
        <v>-24.930000000000003</v>
        <stp/>
        <stp>90007083.SZ</stp>
        <stp>PctChg</stp>
        <tr r="H104" s="2"/>
      </tp>
      <tp>
        <v>38.620000000000005</v>
        <stp/>
        <stp>90007343.SZ</stp>
        <stp>PctChg</stp>
        <tr r="H41" s="2"/>
      </tp>
      <tp>
        <v>10.24</v>
        <stp/>
        <stp>90007323.SZ</stp>
        <stp>PctChg</stp>
        <tr r="H30" s="2"/>
      </tp>
      <tp>
        <v>-14.37</v>
        <stp/>
        <stp>90007423.SZ</stp>
        <stp>PctChg</stp>
        <tr r="H124" s="2"/>
      </tp>
      <tp>
        <v>26.490000000000002</v>
        <stp/>
        <stp>90007413.SZ</stp>
        <stp>PctChg</stp>
        <tr r="H56" s="2"/>
      </tp>
      <tp>
        <v>137.63</v>
        <stp/>
        <stp>90007573.SZ</stp>
        <stp>PctChg</stp>
        <tr r="H13" s="2"/>
      </tp>
      <tp>
        <v>60.120000000000005</v>
        <stp/>
        <stp>90007543.SZ</stp>
        <stp>PctChg</stp>
        <tr r="H48" s="2"/>
      </tp>
      <tp>
        <v>53.660000000000011</v>
        <stp/>
        <stp>90007503.SZ</stp>
        <stp>PctChg</stp>
        <tr r="H46" s="2"/>
      </tp>
      <tp>
        <v>63.93</v>
        <stp/>
        <stp>90007673.SZ</stp>
        <stp>PctChg</stp>
        <tr r="H51" s="2"/>
      </tp>
      <tp>
        <v>36.47</v>
        <stp/>
        <stp>90007773.SZ</stp>
        <stp>PctChg</stp>
        <tr r="H17" s="2"/>
      </tp>
      <tp>
        <v>71.489999999999995</v>
        <stp/>
        <stp>90007753.SZ</stp>
        <stp>PctChg</stp>
        <tr r="H29" s="2"/>
      </tp>
      <tp>
        <v>3.1100000000000003</v>
        <stp/>
        <stp>90007713.SZ</stp>
        <stp>PctChg</stp>
        <tr r="H94" s="2"/>
      </tp>
      <tp>
        <v>70.040000000000006</v>
        <stp/>
        <stp>90007703.SZ</stp>
        <stp>PctChg</stp>
        <tr r="H26" s="2"/>
      </tp>
    </main>
    <main first="wdf.rtq">
      <tp>
        <v>15.660000000000002</v>
        <stp/>
        <stp>90007072.SZ</stp>
        <stp>PctChg</stp>
        <tr r="H35" s="2"/>
      </tp>
      <tp>
        <v>-23.92</v>
        <stp/>
        <stp>90007082.SZ</stp>
        <stp>PctChg</stp>
        <tr r="H103" s="2"/>
      </tp>
      <tp>
        <v>-22.38</v>
        <stp/>
        <stp>90007352.SZ</stp>
        <stp>PctChg</stp>
        <tr r="H109" s="2"/>
      </tp>
      <tp>
        <v>-15.15</v>
        <stp/>
        <stp>90007422.SZ</stp>
        <stp>PctChg</stp>
        <tr r="H123" s="2"/>
      </tp>
      <tp>
        <v>25.25</v>
        <stp/>
        <stp>90007412.SZ</stp>
        <stp>PctChg</stp>
        <tr r="H55" s="2"/>
      </tp>
      <tp>
        <v>-13.38</v>
        <stp/>
        <stp>90007482.SZ</stp>
        <stp>PctChg</stp>
        <tr r="H120" s="2"/>
      </tp>
      <tp>
        <v>135.38000000000002</v>
        <stp/>
        <stp>90007572.SZ</stp>
        <stp>PctChg</stp>
        <tr r="H12" s="2"/>
      </tp>
      <tp>
        <v>-23.89</v>
        <stp/>
        <stp>90007582.SZ</stp>
        <stp>PctChg</stp>
        <tr r="H80" s="2"/>
      </tp>
      <tp>
        <v>-18.02</v>
        <stp/>
        <stp>90007672.SZ</stp>
        <stp>PctChg</stp>
        <tr r="H83" s="2"/>
      </tp>
      <tp>
        <v>-63.31</v>
        <stp/>
        <stp>90007632.SZ</stp>
        <stp>PctChg</stp>
        <tr r="H70" s="2"/>
      </tp>
      <tp>
        <v>-66.2</v>
        <stp/>
        <stp>90007622.SZ</stp>
        <stp>PctChg</stp>
        <tr r="H71" s="2"/>
      </tp>
      <tp>
        <v>-17.52</v>
        <stp/>
        <stp>90007712.SZ</stp>
        <stp>PctChg</stp>
        <tr r="H93" s="2"/>
      </tp>
      <tp>
        <v>72.2</v>
        <stp/>
        <stp>90007702.SZ</stp>
        <stp>PctChg</stp>
        <tr r="H25" s="2"/>
      </tp>
    </main>
    <main first="wdf.rtq">
      <tp>
        <v>14.610000000000001</v>
        <stp/>
        <stp>90007071.SZ</stp>
        <stp>PctChg</stp>
        <tr r="H34" s="2"/>
      </tp>
      <tp>
        <v>-22.07</v>
        <stp/>
        <stp>90007081.SZ</stp>
        <stp>PctChg</stp>
        <tr r="H102" s="2"/>
      </tp>
      <tp>
        <v>41.96</v>
        <stp/>
        <stp>90007351.SZ</stp>
        <stp>PctChg</stp>
        <tr r="H42" s="2"/>
      </tp>
      <tp>
        <v>-14.09</v>
        <stp/>
        <stp>90007421.SZ</stp>
        <stp>PctChg</stp>
        <tr r="H122" s="2"/>
      </tp>
      <tp>
        <v>21.3</v>
        <stp/>
        <stp>90007411.SZ</stp>
        <stp>PctChg</stp>
        <tr r="H54" s="2"/>
      </tp>
      <tp>
        <v>20.71</v>
        <stp/>
        <stp>90007481.SZ</stp>
        <stp>PctChg</stp>
        <tr r="H53" s="2"/>
      </tp>
      <tp>
        <v>133.51</v>
        <stp/>
        <stp>90007571.SZ</stp>
        <stp>PctChg</stp>
        <tr r="H11" s="2"/>
      </tp>
      <tp>
        <v>-27.93</v>
        <stp/>
        <stp>90007581.SZ</stp>
        <stp>PctChg</stp>
        <tr r="H79" s="2"/>
      </tp>
      <tp>
        <v>145.45000000000002</v>
        <stp/>
        <stp>90007671.SZ</stp>
        <stp>PctChg</stp>
        <tr r="H16" s="2"/>
      </tp>
      <tp>
        <v>-63.080000000000005</v>
        <stp/>
        <stp>90007631.SZ</stp>
        <stp>PctChg</stp>
        <tr r="H69" s="2"/>
      </tp>
      <tp>
        <v>52.03</v>
        <stp/>
        <stp>90007621.SZ</stp>
        <stp>PctChg</stp>
        <tr r="H4" s="2"/>
      </tp>
      <tp>
        <v>-20.220000000000002</v>
        <stp/>
        <stp>90007711.SZ</stp>
        <stp>PctChg</stp>
        <tr r="H92" s="2"/>
      </tp>
      <tp>
        <v>63.640000000000008</v>
        <stp/>
        <stp>90007701.SZ</stp>
        <stp>PctChg</stp>
        <tr r="H24" s="2"/>
      </tp>
    </main>
    <main first="wdf.rtq">
      <tp>
        <v>9.94</v>
        <stp/>
        <stp>90007070.SZ</stp>
        <stp>PctChg</stp>
        <tr r="H33" s="2"/>
      </tp>
      <tp>
        <v>-20.59</v>
        <stp/>
        <stp>90007080.SZ</stp>
        <stp>PctChg</stp>
        <tr r="H101" s="2"/>
      </tp>
      <tp>
        <v>-15.78</v>
        <stp/>
        <stp>90007420.SZ</stp>
        <stp>PctChg</stp>
        <tr r="H121" s="2"/>
      </tp>
      <tp>
        <v>133.57000000000002</v>
        <stp/>
        <stp>90007570.SZ</stp>
        <stp>PctChg</stp>
        <tr r="H10" s="2"/>
      </tp>
      <tp>
        <v>0</v>
        <stp/>
        <stp>90007530.SZ</stp>
        <stp>PctChg</stp>
        <tr r="H131" s="2"/>
      </tp>
      <tp>
        <v>-31.259999999999998</v>
        <stp/>
        <stp>90007580.SZ</stp>
        <stp>PctChg</stp>
        <tr r="H78" s="2"/>
      </tp>
      <tp>
        <v>0</v>
        <stp/>
        <stp>90007660.SZ</stp>
        <stp>PctChg</stp>
        <tr r="H134" s="2"/>
      </tp>
      <tp>
        <v>-9.65</v>
        <stp/>
        <stp>90007650.SZ</stp>
        <stp>PctChg</stp>
        <tr r="H133" s="2"/>
      </tp>
      <tp>
        <v>43.78</v>
        <stp/>
        <stp>90007630.SZ</stp>
        <stp>PctChg</stp>
        <tr r="H3" s="2"/>
      </tp>
      <tp>
        <v>-21.930000000000003</v>
        <stp/>
        <stp>90007710.SZ</stp>
        <stp>PctChg</stp>
        <tr r="H91" s="2"/>
      </tp>
      <tp>
        <v>63.580000000000005</v>
        <stp/>
        <stp>90007700.SZ</stp>
        <stp>PctChg</stp>
        <tr r="H23" s="2"/>
      </tp>
    </main>
    <main first="wdf.rtq">
      <tp>
        <v>33.330000000000005</v>
        <stp/>
        <stp>90007077.SZ</stp>
        <stp>PctChg</stp>
        <tr r="H40" s="2"/>
      </tp>
      <tp>
        <v>11.120000000000001</v>
        <stp/>
        <stp>90007137.SZ</stp>
        <stp>PctChg</stp>
        <tr r="H31" s="2"/>
      </tp>
      <tp>
        <v>44</v>
        <stp/>
        <stp>90007367.SZ</stp>
        <stp>PctChg</stp>
        <tr r="H43" s="2"/>
      </tp>
      <tp>
        <v>48.78</v>
        <stp/>
        <stp>90007387.SZ</stp>
        <stp>PctChg</stp>
        <tr r="H44" s="2"/>
      </tp>
      <tp>
        <v>-13.970000000000002</v>
        <stp/>
        <stp>90007427.SZ</stp>
        <stp>PctChg</stp>
        <tr r="H128" s="2"/>
      </tp>
      <tp>
        <v>37.130000000000003</v>
        <stp/>
        <stp>90007417.SZ</stp>
        <stp>PctChg</stp>
        <tr r="H60" s="2"/>
      </tp>
      <tp>
        <v>-47.050000000000004</v>
        <stp/>
        <stp>90007577.SZ</stp>
        <stp>PctChg</stp>
        <tr r="H75" s="2"/>
      </tp>
      <tp>
        <v>93.22</v>
        <stp/>
        <stp>90007567.SZ</stp>
        <stp>PctChg</stp>
        <tr r="H7" s="2"/>
      </tp>
      <tp>
        <v>59.430000000000007</v>
        <stp/>
        <stp>90007527.SZ</stp>
        <stp>PctChg</stp>
        <tr r="H47" s="2"/>
      </tp>
      <tp>
        <v>65.92</v>
        <stp/>
        <stp>90007657.SZ</stp>
        <stp>PctChg</stp>
        <tr r="H50" s="2"/>
      </tp>
      <tp>
        <v>64.17</v>
        <stp/>
        <stp>90007647.SZ</stp>
        <stp>PctChg</stp>
        <tr r="H49" s="2"/>
      </tp>
      <tp>
        <v>49.58</v>
        <stp/>
        <stp>90007697.SZ</stp>
        <stp>PctChg</stp>
        <tr r="H20" s="2"/>
      </tp>
      <tp>
        <v>47.290000000000006</v>
        <stp/>
        <stp>90007757.SZ</stp>
        <stp>PctChg</stp>
        <tr r="H19" s="2"/>
      </tp>
      <tp>
        <v>-26.66</v>
        <stp/>
        <stp>90007707.SZ</stp>
        <stp>PctChg</stp>
        <tr r="H88" s="2"/>
      </tp>
    </main>
    <main first="wdf.rtq">
      <tp>
        <v>30.520000000000003</v>
        <stp/>
        <stp>90007076.SZ</stp>
        <stp>PctChg</stp>
        <tr r="H39" s="2"/>
      </tp>
      <tp>
        <v>-23.990000000000002</v>
        <stp/>
        <stp>90007086.SZ</stp>
        <stp>PctChg</stp>
        <tr r="H107" s="2"/>
      </tp>
      <tp>
        <v>-17.900000000000002</v>
        <stp/>
        <stp>90007476.SZ</stp>
        <stp>PctChg</stp>
        <tr r="H112" s="2"/>
      </tp>
      <tp>
        <v>-14.13</v>
        <stp/>
        <stp>90007426.SZ</stp>
        <stp>PctChg</stp>
        <tr r="H127" s="2"/>
      </tp>
      <tp>
        <v>33.700000000000003</v>
        <stp/>
        <stp>90007416.SZ</stp>
        <stp>PctChg</stp>
        <tr r="H59" s="2"/>
      </tp>
      <tp>
        <v>-12.39</v>
        <stp/>
        <stp>90007486.SZ</stp>
        <stp>PctChg</stp>
        <tr r="H119" s="2"/>
      </tp>
      <tp>
        <v>-53.060000000000009</v>
        <stp/>
        <stp>90007576.SZ</stp>
        <stp>PctChg</stp>
        <tr r="H74" s="2"/>
      </tp>
      <tp>
        <v>76.550000000000011</v>
        <stp/>
        <stp>90007566.SZ</stp>
        <stp>PctChg</stp>
        <tr r="H6" s="2"/>
      </tp>
      <tp>
        <v>-11.39</v>
        <stp/>
        <stp>90007546.SZ</stp>
        <stp>PctChg</stp>
        <tr r="H132" s="2"/>
      </tp>
      <tp>
        <v>-11.21</v>
        <stp/>
        <stp>90007506.SZ</stp>
        <stp>PctChg</stp>
        <tr r="H130" s="2"/>
      </tp>
      <tp>
        <v>-0.86</v>
        <stp/>
        <stp>90007676.SZ</stp>
        <stp>PctChg</stp>
        <tr r="H135" s="2"/>
      </tp>
      <tp>
        <v>-19.220000000000002</v>
        <stp/>
        <stp>90007656.SZ</stp>
        <stp>PctChg</stp>
        <tr r="H82" s="2"/>
      </tp>
      <tp>
        <v>-21.22</v>
        <stp/>
        <stp>90007646.SZ</stp>
        <stp>PctChg</stp>
        <tr r="H81" s="2"/>
      </tp>
      <tp>
        <v>-30.460000000000004</v>
        <stp/>
        <stp>90007776.SZ</stp>
        <stp>PctChg</stp>
        <tr r="H85" s="2"/>
      </tp>
      <tp>
        <v>-28.860000000000003</v>
        <stp/>
        <stp>90007706.SZ</stp>
        <stp>PctChg</stp>
        <tr r="H87" s="2"/>
      </tp>
    </main>
    <main first="wdf.rtq">
      <tp>
        <v>25.5</v>
        <stp/>
        <stp>90007075.SZ</stp>
        <stp>PctChg</stp>
        <tr r="H38" s="2"/>
      </tp>
      <tp>
        <v>-23.96</v>
        <stp/>
        <stp>90007085.SZ</stp>
        <stp>PctChg</stp>
        <tr r="H106" s="2"/>
      </tp>
      <tp>
        <v>52.44</v>
        <stp/>
        <stp>90007475.SZ</stp>
        <stp>PctChg</stp>
        <tr r="H45" s="2"/>
      </tp>
      <tp>
        <v>-14.19</v>
        <stp/>
        <stp>90007425.SZ</stp>
        <stp>PctChg</stp>
        <tr r="H126" s="2"/>
      </tp>
      <tp>
        <v>29.799999999999997</v>
        <stp/>
        <stp>90007415.SZ</stp>
        <stp>PctChg</stp>
        <tr r="H58" s="2"/>
      </tp>
      <tp>
        <v>19.190000000000001</v>
        <stp/>
        <stp>90007485.SZ</stp>
        <stp>PctChg</stp>
        <tr r="H52" s="2"/>
      </tp>
      <tp>
        <v>-57.550000000000004</v>
        <stp/>
        <stp>90007575.SZ</stp>
        <stp>PctChg</stp>
        <tr r="H73" s="2"/>
      </tp>
      <tp>
        <v>62.84</v>
        <stp/>
        <stp>90007565.SZ</stp>
        <stp>PctChg</stp>
        <tr r="H5" s="2"/>
      </tp>
      <tp>
        <v>43.970000000000006</v>
        <stp/>
        <stp>90007545.SZ</stp>
        <stp>PctChg</stp>
        <tr r="H65" s="2"/>
      </tp>
      <tp>
        <v>33.450000000000003</v>
        <stp/>
        <stp>90007505.SZ</stp>
        <stp>PctChg</stp>
        <tr r="H63" s="2"/>
      </tp>
      <tp>
        <v>50.660000000000004</v>
        <stp/>
        <stp>90007675.SZ</stp>
        <stp>PctChg</stp>
        <tr r="H68" s="2"/>
      </tp>
      <tp>
        <v>141.67000000000002</v>
        <stp/>
        <stp>90007655.SZ</stp>
        <stp>PctChg</stp>
        <tr r="H15" s="2"/>
      </tp>
      <tp>
        <v>129.69000000000003</v>
        <stp/>
        <stp>90007645.SZ</stp>
        <stp>PctChg</stp>
        <tr r="H14" s="2"/>
      </tp>
      <tp>
        <v>-32.17</v>
        <stp/>
        <stp>90007775.SZ</stp>
        <stp>PctChg</stp>
        <tr r="H84" s="2"/>
      </tp>
      <tp>
        <v>68.92</v>
        <stp/>
        <stp>90007705.SZ</stp>
        <stp>PctChg</stp>
        <tr r="H28" s="2"/>
      </tp>
    </main>
    <main first="wdf.rtq">
      <tp>
        <v>26.919999999999998</v>
        <stp/>
        <stp>90007074.SZ</stp>
        <stp>PctChg</stp>
        <tr r="H37" s="2"/>
      </tp>
      <tp>
        <v>-24.980000000000004</v>
        <stp/>
        <stp>90007084.SZ</stp>
        <stp>PctChg</stp>
        <tr r="H105" s="2"/>
      </tp>
      <tp>
        <v>-22.220000000000002</v>
        <stp/>
        <stp>90007344.SZ</stp>
        <stp>PctChg</stp>
        <tr r="H108" s="2"/>
      </tp>
      <tp>
        <v>-13.68</v>
        <stp/>
        <stp>90007324.SZ</stp>
        <stp>PctChg</stp>
        <tr r="H97" s="2"/>
      </tp>
      <tp>
        <v>-13.56</v>
        <stp/>
        <stp>90007424.SZ</stp>
        <stp>PctChg</stp>
        <tr r="H125" s="2"/>
      </tp>
      <tp>
        <v>29.13</v>
        <stp/>
        <stp>90007414.SZ</stp>
        <stp>PctChg</stp>
        <tr r="H57" s="2"/>
      </tp>
      <tp>
        <v>-63.240000000000009</v>
        <stp/>
        <stp>90007574.SZ</stp>
        <stp>PctChg</stp>
        <tr r="H72" s="2"/>
      </tp>
      <tp>
        <v>-16.840000000000003</v>
        <stp/>
        <stp>90007544.SZ</stp>
        <stp>PctChg</stp>
        <tr r="H115" s="2"/>
      </tp>
      <tp>
        <v>-16.8</v>
        <stp/>
        <stp>90007504.SZ</stp>
        <stp>PctChg</stp>
        <tr r="H113" s="2"/>
      </tp>
      <tp>
        <v>-11.09</v>
        <stp/>
        <stp>90007674.SZ</stp>
        <stp>PctChg</stp>
        <tr r="H118" s="2"/>
      </tp>
      <tp>
        <v>40.53</v>
        <stp/>
        <stp>90007774.SZ</stp>
        <stp>PctChg</stp>
        <tr r="H18" s="2"/>
      </tp>
      <tp>
        <v>-15.67</v>
        <stp/>
        <stp>90007754.SZ</stp>
        <stp>PctChg</stp>
        <tr r="H96" s="2"/>
      </tp>
      <tp>
        <v>3.25</v>
        <stp/>
        <stp>90007714.SZ</stp>
        <stp>PctChg</stp>
        <tr r="H95" s="2"/>
      </tp>
      <tp>
        <v>70.59</v>
        <stp/>
        <stp>90007704.SZ</stp>
        <stp>PctChg</stp>
        <tr r="H27" s="2"/>
      </tp>
    </main>
    <main first="wdf.rtq">
      <tp>
        <v>4.04</v>
        <stp/>
        <stp>159915.SZ</stp>
        <stp>LastPrice</stp>
        <tr r="T2" s="2"/>
      </tp>
      <tp>
        <v>73099</v>
        <stp/>
        <stp>90007569.SZ</stp>
        <stp>rt_oi</stp>
        <stp>RT_Price</stp>
        <tr r="J9" s="2"/>
      </tp>
      <tp>
        <v>34456</v>
        <stp/>
        <stp>90007579.SZ</stp>
        <stp>rt_oi</stp>
        <stp>RT_Price</stp>
        <tr r="J77" s="2"/>
      </tp>
      <tp>
        <v>3172</v>
        <stp/>
        <stp>90007529.SZ</stp>
        <stp>rt_oi</stp>
        <stp>RT_Price</stp>
        <tr r="J64" s="2"/>
      </tp>
      <tp>
        <v>2024</v>
        <stp/>
        <stp>90007419.SZ</stp>
        <stp>rt_oi</stp>
        <stp>RT_Price</stp>
        <tr r="J62" s="2"/>
      </tp>
      <tp>
        <v>7449</v>
        <stp/>
        <stp>90007709.SZ</stp>
        <stp>rt_oi</stp>
        <stp>RT_Price</stp>
        <tr r="J90" s="2"/>
      </tp>
      <tp>
        <v>9908</v>
        <stp/>
        <stp>90007699.SZ</stp>
        <stp>rt_oi</stp>
        <stp>RT_Price</stp>
        <tr r="J22" s="2"/>
      </tp>
      <tp>
        <v>1606</v>
        <stp/>
        <stp>90007649.SZ</stp>
        <stp>rt_oi</stp>
        <stp>RT_Price</stp>
        <tr r="J66" s="2"/>
      </tp>
      <tp>
        <v>1219</v>
        <stp/>
        <stp>90007659.SZ</stp>
        <stp>rt_oi</stp>
        <stp>RT_Price</stp>
        <tr r="J67" s="2"/>
      </tp>
      <tp>
        <v>1119</v>
        <stp/>
        <stp>90007629.SZ</stp>
        <stp>rt_oi</stp>
        <stp>RT_Price</stp>
        <tr r="J2" s="2"/>
      </tp>
      <tp>
        <v>1498</v>
        <stp/>
        <stp>90007069.SZ</stp>
        <stp>rt_oi</stp>
        <stp>RT_Price</stp>
        <tr r="J32" s="2"/>
      </tp>
      <tp>
        <v>12117</v>
        <stp/>
        <stp>90007079.SZ</stp>
        <stp>rt_oi</stp>
        <stp>RT_Price</stp>
        <tr r="J100" s="2"/>
      </tp>
      <tp>
        <v>68333</v>
        <stp/>
        <stp>90007568.SZ</stp>
        <stp>rt_oi</stp>
        <stp>RT_Price</stp>
        <tr r="J8" s="2"/>
      </tp>
      <tp>
        <v>32556</v>
        <stp/>
        <stp>90007578.SZ</stp>
        <stp>rt_oi</stp>
        <stp>RT_Price</stp>
        <tr r="J76" s="2"/>
      </tp>
      <tp>
        <v>1859</v>
        <stp/>
        <stp>90007528.SZ</stp>
        <stp>rt_oi</stp>
        <stp>RT_Price</stp>
        <tr r="J114" s="2"/>
      </tp>
      <tp>
        <v>2337</v>
        <stp/>
        <stp>90007418.SZ</stp>
        <stp>rt_oi</stp>
        <stp>RT_Price</stp>
        <tr r="J61" s="2"/>
      </tp>
      <tp>
        <v>874</v>
        <stp/>
        <stp>90007428.SZ</stp>
        <stp>rt_oi</stp>
        <stp>RT_Price</stp>
        <tr r="J129" s="2"/>
      </tp>
      <tp>
        <v>14842</v>
        <stp/>
        <stp>90007758.SZ</stp>
        <stp>rt_oi</stp>
        <stp>RT_Price</stp>
        <tr r="J86" s="2"/>
      </tp>
      <tp>
        <v>8093</v>
        <stp/>
        <stp>90007708.SZ</stp>
        <stp>rt_oi</stp>
        <stp>RT_Price</stp>
        <tr r="J89" s="2"/>
      </tp>
      <tp>
        <v>11948</v>
        <stp/>
        <stp>90007698.SZ</stp>
        <stp>rt_oi</stp>
        <stp>RT_Price</stp>
        <tr r="J21" s="2"/>
      </tp>
      <tp>
        <v>475</v>
        <stp/>
        <stp>90007648.SZ</stp>
        <stp>rt_oi</stp>
        <stp>RT_Price</stp>
        <tr r="J116" s="2"/>
      </tp>
      <tp>
        <v>130</v>
        <stp/>
        <stp>90007658.SZ</stp>
        <stp>rt_oi</stp>
        <stp>RT_Price</stp>
        <tr r="J117" s="2"/>
      </tp>
      <tp>
        <v>82733</v>
        <stp/>
        <stp>90007138.SZ</stp>
        <stp>rt_oi</stp>
        <stp>RT_Price</stp>
        <tr r="J98" s="2"/>
      </tp>
      <tp>
        <v>14690</v>
        <stp/>
        <stp>90007078.SZ</stp>
        <stp>rt_oi</stp>
        <stp>RT_Price</stp>
        <tr r="J99" s="2"/>
      </tp>
      <tp>
        <v>5233</v>
        <stp/>
        <stp>90007388.SZ</stp>
        <stp>rt_oi</stp>
        <stp>RT_Price</stp>
        <tr r="J111" s="2"/>
      </tp>
      <tp>
        <v>5123</v>
        <stp/>
        <stp>90007368.SZ</stp>
        <stp>rt_oi</stp>
        <stp>RT_Price</stp>
        <tr r="J110" s="2"/>
      </tp>
      <tp>
        <v>11919</v>
        <stp/>
        <stp>90007581.SZ</stp>
        <stp>rt_oi</stp>
        <stp>RT_Price</stp>
        <tr r="J79" s="2"/>
      </tp>
      <tp>
        <v>92933</v>
        <stp/>
        <stp>90007571.SZ</stp>
        <stp>rt_oi</stp>
        <stp>RT_Price</stp>
        <tr r="J11" s="2"/>
      </tp>
      <tp>
        <v>671</v>
        <stp/>
        <stp>90007481.SZ</stp>
        <stp>rt_oi</stp>
        <stp>RT_Price</stp>
        <tr r="J53" s="2"/>
      </tp>
      <tp>
        <v>417</v>
        <stp/>
        <stp>90007411.SZ</stp>
        <stp>rt_oi</stp>
        <stp>RT_Price</stp>
        <tr r="J54" s="2"/>
      </tp>
      <tp>
        <v>2009</v>
        <stp/>
        <stp>90007421.SZ</stp>
        <stp>rt_oi</stp>
        <stp>RT_Price</stp>
        <tr r="J122" s="2"/>
      </tp>
      <tp>
        <v>14375</v>
        <stp/>
        <stp>90007701.SZ</stp>
        <stp>rt_oi</stp>
        <stp>RT_Price</stp>
        <tr r="J24" s="2"/>
      </tp>
      <tp>
        <v>1835</v>
        <stp/>
        <stp>90007711.SZ</stp>
        <stp>rt_oi</stp>
        <stp>RT_Price</stp>
        <tr r="J92" s="2"/>
      </tp>
      <tp>
        <v>77559</v>
        <stp/>
        <stp>90007671.SZ</stp>
        <stp>rt_oi</stp>
        <stp>RT_Price</stp>
        <tr r="J16" s="2"/>
      </tp>
      <tp>
        <v>2135</v>
        <stp/>
        <stp>90007621.SZ</stp>
        <stp>rt_oi</stp>
        <stp>RT_Price</stp>
        <tr r="J4" s="2"/>
      </tp>
      <tp>
        <v>55237</v>
        <stp/>
        <stp>90007631.SZ</stp>
        <stp>rt_oi</stp>
        <stp>RT_Price</stp>
        <tr r="J69" s="2"/>
      </tp>
      <tp>
        <v>7060</v>
        <stp/>
        <stp>90007081.SZ</stp>
        <stp>rt_oi</stp>
        <stp>RT_Price</stp>
        <tr r="J102" s="2"/>
      </tp>
      <tp>
        <v>919</v>
        <stp/>
        <stp>90007071.SZ</stp>
        <stp>rt_oi</stp>
        <stp>RT_Price</stp>
        <tr r="J34" s="2"/>
      </tp>
      <tp>
        <v>14666</v>
        <stp/>
        <stp>90007351.SZ</stp>
        <stp>rt_oi</stp>
        <stp>RT_Price</stp>
        <tr r="J42" s="2"/>
      </tp>
      <tp>
        <v>31598</v>
        <stp/>
        <stp>90007580.SZ</stp>
        <stp>rt_oi</stp>
        <stp>RT_Price</stp>
        <tr r="J78" s="2"/>
      </tp>
      <tp>
        <v>83444</v>
        <stp/>
        <stp>90007570.SZ</stp>
        <stp>rt_oi</stp>
        <stp>RT_Price</stp>
        <tr r="J10" s="2"/>
      </tp>
      <tp>
        <v>487</v>
        <stp/>
        <stp>90007530.SZ</stp>
        <stp>rt_oi</stp>
        <stp>RT_Price</stp>
        <tr r="J131" s="2"/>
      </tp>
      <tp>
        <v>2077</v>
        <stp/>
        <stp>90007420.SZ</stp>
        <stp>rt_oi</stp>
        <stp>RT_Price</stp>
        <tr r="J121" s="2"/>
      </tp>
      <tp>
        <v>11305</v>
        <stp/>
        <stp>90007700.SZ</stp>
        <stp>rt_oi</stp>
        <stp>RT_Price</stp>
        <tr r="J23" s="2"/>
      </tp>
      <tp>
        <v>3300</v>
        <stp/>
        <stp>90007710.SZ</stp>
        <stp>rt_oi</stp>
        <stp>RT_Price</stp>
        <tr r="J91" s="2"/>
      </tp>
      <tp>
        <v>448</v>
        <stp/>
        <stp>90007650.SZ</stp>
        <stp>rt_oi</stp>
        <stp>RT_Price</stp>
        <tr r="J133" s="2"/>
      </tp>
      <tp>
        <v>135</v>
        <stp/>
        <stp>90007660.SZ</stp>
        <stp>rt_oi</stp>
        <stp>RT_Price</stp>
        <tr r="J134" s="2"/>
      </tp>
      <tp>
        <v>1736</v>
        <stp/>
        <stp>90007630.SZ</stp>
        <stp>rt_oi</stp>
        <stp>RT_Price</stp>
        <tr r="J3" s="2"/>
      </tp>
      <tp>
        <v>5674</v>
        <stp/>
        <stp>90007080.SZ</stp>
        <stp>rt_oi</stp>
        <stp>RT_Price</stp>
        <tr r="J101" s="2"/>
      </tp>
      <tp>
        <v>2834</v>
        <stp/>
        <stp>90007070.SZ</stp>
        <stp>rt_oi</stp>
        <stp>RT_Price</stp>
        <tr r="J33" s="2"/>
      </tp>
      <tp>
        <v>12111</v>
        <stp/>
        <stp>90007543.SZ</stp>
        <stp>rt_oi</stp>
        <stp>RT_Price</stp>
        <tr r="J48" s="2"/>
      </tp>
      <tp>
        <v>69964</v>
        <stp/>
        <stp>90007573.SZ</stp>
        <stp>rt_oi</stp>
        <stp>RT_Price</stp>
        <tr r="J13" s="2"/>
      </tp>
      <tp>
        <v>7318</v>
        <stp/>
        <stp>90007503.SZ</stp>
        <stp>rt_oi</stp>
        <stp>RT_Price</stp>
        <tr r="J46" s="2"/>
      </tp>
      <tp>
        <v>872</v>
        <stp/>
        <stp>90007413.SZ</stp>
        <stp>rt_oi</stp>
        <stp>RT_Price</stp>
        <tr r="J56" s="2"/>
      </tp>
      <tp>
        <v>2412</v>
        <stp/>
        <stp>90007423.SZ</stp>
        <stp>rt_oi</stp>
        <stp>RT_Price</stp>
        <tr r="J124" s="2"/>
      </tp>
      <tp>
        <v>18583</v>
        <stp/>
        <stp>90007753.SZ</stp>
        <stp>rt_oi</stp>
        <stp>RT_Price</stp>
        <tr r="J29" s="2"/>
      </tp>
      <tp>
        <v>758</v>
        <stp/>
        <stp>90007773.SZ</stp>
        <stp>rt_oi</stp>
        <stp>RT_Price</stp>
        <tr r="J17" s="2"/>
      </tp>
      <tp>
        <v>10202</v>
        <stp/>
        <stp>90007703.SZ</stp>
        <stp>rt_oi</stp>
        <stp>RT_Price</stp>
        <tr r="J26" s="2"/>
      </tp>
      <tp>
        <v>175</v>
        <stp/>
        <stp>90007713.SZ</stp>
        <stp>rt_oi</stp>
        <stp>RT_Price</stp>
        <tr r="J94" s="2"/>
      </tp>
      <tp>
        <v>16919</v>
        <stp/>
        <stp>90007673.SZ</stp>
        <stp>rt_oi</stp>
        <stp>RT_Price</stp>
        <tr r="J51" s="2"/>
      </tp>
      <tp>
        <v>6394</v>
        <stp/>
        <stp>90007083.SZ</stp>
        <stp>rt_oi</stp>
        <stp>RT_Price</stp>
        <tr r="J104" s="2"/>
      </tp>
      <tp>
        <v>1895</v>
        <stp/>
        <stp>90007073.SZ</stp>
        <stp>rt_oi</stp>
        <stp>RT_Price</stp>
        <tr r="J36" s="2"/>
      </tp>
      <tp>
        <v>4957</v>
        <stp/>
        <stp>90007343.SZ</stp>
        <stp>rt_oi</stp>
        <stp>RT_Price</stp>
        <tr r="J41" s="2"/>
      </tp>
      <tp>
        <v>715</v>
        <stp/>
        <stp>90007323.SZ</stp>
        <stp>rt_oi</stp>
        <stp>RT_Price</stp>
        <tr r="J30" s="2"/>
      </tp>
      <tp>
        <v>7155</v>
        <stp/>
        <stp>90007582.SZ</stp>
        <stp>rt_oi</stp>
        <stp>RT_Price</stp>
        <tr r="J80" s="2"/>
      </tp>
      <tp>
        <v>63357</v>
        <stp/>
        <stp>90007572.SZ</stp>
        <stp>rt_oi</stp>
        <stp>RT_Price</stp>
        <tr r="J12" s="2"/>
      </tp>
      <tp>
        <v>3872</v>
        <stp/>
        <stp>90007482.SZ</stp>
        <stp>rt_oi</stp>
        <stp>RT_Price</stp>
        <tr r="J120" s="2"/>
      </tp>
      <tp>
        <v>1366</v>
        <stp/>
        <stp>90007412.SZ</stp>
        <stp>rt_oi</stp>
        <stp>RT_Price</stp>
        <tr r="J55" s="2"/>
      </tp>
      <tp>
        <v>2411</v>
        <stp/>
        <stp>90007422.SZ</stp>
        <stp>rt_oi</stp>
        <stp>RT_Price</stp>
        <tr r="J123" s="2"/>
      </tp>
      <tp>
        <v>10579</v>
        <stp/>
        <stp>90007702.SZ</stp>
        <stp>rt_oi</stp>
        <stp>RT_Price</stp>
        <tr r="J25" s="2"/>
      </tp>
      <tp>
        <v>572</v>
        <stp/>
        <stp>90007712.SZ</stp>
        <stp>rt_oi</stp>
        <stp>RT_Price</stp>
        <tr r="J93" s="2"/>
      </tp>
      <tp>
        <v>1208</v>
        <stp/>
        <stp>90007672.SZ</stp>
        <stp>rt_oi</stp>
        <stp>RT_Price</stp>
        <tr r="J83" s="2"/>
      </tp>
      <tp>
        <v>56775</v>
        <stp/>
        <stp>90007622.SZ</stp>
        <stp>rt_oi</stp>
        <stp>RT_Price</stp>
        <tr r="J71" s="2"/>
      </tp>
      <tp>
        <v>37045</v>
        <stp/>
        <stp>90007632.SZ</stp>
        <stp>rt_oi</stp>
        <stp>RT_Price</stp>
        <tr r="J70" s="2"/>
      </tp>
      <tp>
        <v>7444</v>
        <stp/>
        <stp>90007082.SZ</stp>
        <stp>rt_oi</stp>
        <stp>RT_Price</stp>
        <tr r="J103" s="2"/>
      </tp>
      <tp>
        <v>771</v>
        <stp/>
        <stp>90007072.SZ</stp>
        <stp>rt_oi</stp>
        <stp>RT_Price</stp>
        <tr r="J35" s="2"/>
      </tp>
      <tp>
        <v>14299</v>
        <stp/>
        <stp>90007352.SZ</stp>
        <stp>rt_oi</stp>
        <stp>RT_Price</stp>
        <tr r="J109" s="2"/>
      </tp>
      <tp>
        <v>5639</v>
        <stp/>
        <stp>90007545.SZ</stp>
        <stp>rt_oi</stp>
        <stp>RT_Price</stp>
        <tr r="J65" s="2"/>
      </tp>
      <tp>
        <v>8696</v>
        <stp/>
        <stp>90007565.SZ</stp>
        <stp>rt_oi</stp>
        <stp>RT_Price</stp>
        <tr r="J5" s="2"/>
      </tp>
      <tp>
        <v>60241</v>
        <stp/>
        <stp>90007575.SZ</stp>
        <stp>rt_oi</stp>
        <stp>RT_Price</stp>
        <tr r="J73" s="2"/>
      </tp>
      <tp>
        <v>2525</v>
        <stp/>
        <stp>90007505.SZ</stp>
        <stp>rt_oi</stp>
        <stp>RT_Price</stp>
        <tr r="J63" s="2"/>
      </tp>
      <tp>
        <v>963</v>
        <stp/>
        <stp>90007485.SZ</stp>
        <stp>rt_oi</stp>
        <stp>RT_Price</stp>
        <tr r="J52" s="2"/>
      </tp>
      <tp>
        <v>9601</v>
        <stp/>
        <stp>90007475.SZ</stp>
        <stp>rt_oi</stp>
        <stp>RT_Price</stp>
        <tr r="J45" s="2"/>
      </tp>
      <tp>
        <v>1183</v>
        <stp/>
        <stp>90007415.SZ</stp>
        <stp>rt_oi</stp>
        <stp>RT_Price</stp>
        <tr r="J58" s="2"/>
      </tp>
      <tp>
        <v>1701</v>
        <stp/>
        <stp>90007425.SZ</stp>
        <stp>rt_oi</stp>
        <stp>RT_Price</stp>
        <tr r="J126" s="2"/>
      </tp>
      <tp>
        <v>18567</v>
        <stp/>
        <stp>90007775.SZ</stp>
        <stp>rt_oi</stp>
        <stp>RT_Price</stp>
        <tr r="J84" s="2"/>
      </tp>
      <tp>
        <v>7990</v>
        <stp/>
        <stp>90007705.SZ</stp>
        <stp>rt_oi</stp>
        <stp>RT_Price</stp>
        <tr r="J28" s="2"/>
      </tp>
      <tp>
        <v>37753</v>
        <stp/>
        <stp>90007645.SZ</stp>
        <stp>rt_oi</stp>
        <stp>RT_Price</stp>
        <tr r="J14" s="2"/>
      </tp>
      <tp>
        <v>42486</v>
        <stp/>
        <stp>90007655.SZ</stp>
        <stp>rt_oi</stp>
        <stp>RT_Price</stp>
        <tr r="J15" s="2"/>
      </tp>
      <tp>
        <v>2646</v>
        <stp/>
        <stp>90007675.SZ</stp>
        <stp>rt_oi</stp>
        <stp>RT_Price</stp>
        <tr r="J68" s="2"/>
      </tp>
      <tp>
        <v>8643</v>
        <stp/>
        <stp>90007085.SZ</stp>
        <stp>rt_oi</stp>
        <stp>RT_Price</stp>
        <tr r="J106" s="2"/>
      </tp>
      <tp>
        <v>1806</v>
        <stp/>
        <stp>90007075.SZ</stp>
        <stp>rt_oi</stp>
        <stp>RT_Price</stp>
        <tr r="J38" s="2"/>
      </tp>
      <tp>
        <v>877</v>
        <stp/>
        <stp>90007544.SZ</stp>
        <stp>rt_oi</stp>
        <stp>RT_Price</stp>
        <tr r="J115" s="2"/>
      </tp>
      <tp>
        <v>67231</v>
        <stp/>
        <stp>90007574.SZ</stp>
        <stp>rt_oi</stp>
        <stp>RT_Price</stp>
        <tr r="J72" s="2"/>
      </tp>
      <tp>
        <v>3409</v>
        <stp/>
        <stp>90007504.SZ</stp>
        <stp>rt_oi</stp>
        <stp>RT_Price</stp>
        <tr r="J113" s="2"/>
      </tp>
      <tp>
        <v>1848</v>
        <stp/>
        <stp>90007414.SZ</stp>
        <stp>rt_oi</stp>
        <stp>RT_Price</stp>
        <tr r="J57" s="2"/>
      </tp>
      <tp>
        <v>1832</v>
        <stp/>
        <stp>90007424.SZ</stp>
        <stp>rt_oi</stp>
        <stp>RT_Price</stp>
        <tr r="J125" s="2"/>
      </tp>
      <tp>
        <v>498</v>
        <stp/>
        <stp>90007754.SZ</stp>
        <stp>rt_oi</stp>
        <stp>RT_Price</stp>
        <tr r="J96" s="2"/>
      </tp>
      <tp>
        <v>1890</v>
        <stp/>
        <stp>90007774.SZ</stp>
        <stp>rt_oi</stp>
        <stp>RT_Price</stp>
        <tr r="J18" s="2"/>
      </tp>
      <tp>
        <v>8141</v>
        <stp/>
        <stp>90007704.SZ</stp>
        <stp>rt_oi</stp>
        <stp>RT_Price</stp>
        <tr r="J27" s="2"/>
      </tp>
      <tp>
        <v>222</v>
        <stp/>
        <stp>90007714.SZ</stp>
        <stp>rt_oi</stp>
        <stp>RT_Price</stp>
        <tr r="J95" s="2"/>
      </tp>
      <tp>
        <v>371</v>
        <stp/>
        <stp>90007674.SZ</stp>
        <stp>rt_oi</stp>
        <stp>RT_Price</stp>
        <tr r="J118" s="2"/>
      </tp>
      <tp>
        <v>5095</v>
        <stp/>
        <stp>90007084.SZ</stp>
        <stp>rt_oi</stp>
        <stp>RT_Price</stp>
        <tr r="J105" s="2"/>
      </tp>
      <tp>
        <v>977</v>
        <stp/>
        <stp>90007074.SZ</stp>
        <stp>rt_oi</stp>
        <stp>RT_Price</stp>
        <tr r="J37" s="2"/>
      </tp>
      <tp>
        <v>9451</v>
        <stp/>
        <stp>90007344.SZ</stp>
        <stp>rt_oi</stp>
        <stp>RT_Price</stp>
        <tr r="J108" s="2"/>
      </tp>
      <tp>
        <v>88507</v>
        <stp/>
        <stp>90007324.SZ</stp>
        <stp>rt_oi</stp>
        <stp>RT_Price</stp>
        <tr r="J97" s="2"/>
      </tp>
      <tp>
        <v>42962</v>
        <stp/>
        <stp>90007567.SZ</stp>
        <stp>rt_oi</stp>
        <stp>RT_Price</stp>
        <tr r="J7" s="2"/>
      </tp>
      <tp>
        <v>55028</v>
        <stp/>
        <stp>90007577.SZ</stp>
        <stp>rt_oi</stp>
        <stp>RT_Price</stp>
        <tr r="J75" s="2"/>
      </tp>
      <tp>
        <v>9124</v>
        <stp/>
        <stp>90007527.SZ</stp>
        <stp>rt_oi</stp>
        <stp>RT_Price</stp>
        <tr r="J47" s="2"/>
      </tp>
      <tp>
        <v>2100</v>
        <stp/>
        <stp>90007417.SZ</stp>
        <stp>rt_oi</stp>
        <stp>RT_Price</stp>
        <tr r="J60" s="2"/>
      </tp>
      <tp>
        <v>945</v>
        <stp/>
        <stp>90007427.SZ</stp>
        <stp>rt_oi</stp>
        <stp>RT_Price</stp>
        <tr r="J128" s="2"/>
      </tp>
      <tp>
        <v>5873</v>
        <stp/>
        <stp>90007757.SZ</stp>
        <stp>rt_oi</stp>
        <stp>RT_Price</stp>
        <tr r="J19" s="2"/>
      </tp>
      <tp>
        <v>8364</v>
        <stp/>
        <stp>90007707.SZ</stp>
        <stp>rt_oi</stp>
        <stp>RT_Price</stp>
        <tr r="J88" s="2"/>
      </tp>
      <tp>
        <v>7107</v>
        <stp/>
        <stp>90007697.SZ</stp>
        <stp>rt_oi</stp>
        <stp>RT_Price</stp>
        <tr r="J20" s="2"/>
      </tp>
      <tp>
        <v>4004</v>
        <stp/>
        <stp>90007647.SZ</stp>
        <stp>rt_oi</stp>
        <stp>RT_Price</stp>
        <tr r="J49" s="2"/>
      </tp>
      <tp>
        <v>6020</v>
        <stp/>
        <stp>90007657.SZ</stp>
        <stp>rt_oi</stp>
        <stp>RT_Price</stp>
        <tr r="J50" s="2"/>
      </tp>
      <tp>
        <v>1527</v>
        <stp/>
        <stp>90007137.SZ</stp>
        <stp>rt_oi</stp>
        <stp>RT_Price</stp>
        <tr r="J31" s="2"/>
      </tp>
      <tp>
        <v>3669</v>
        <stp/>
        <stp>90007077.SZ</stp>
        <stp>rt_oi</stp>
        <stp>RT_Price</stp>
        <tr r="J40" s="2"/>
      </tp>
      <tp>
        <v>8925</v>
        <stp/>
        <stp>90007387.SZ</stp>
        <stp>rt_oi</stp>
        <stp>RT_Price</stp>
        <tr r="J44" s="2"/>
      </tp>
      <tp>
        <v>7975</v>
        <stp/>
        <stp>90007367.SZ</stp>
        <stp>rt_oi</stp>
        <stp>RT_Price</stp>
        <tr r="J43" s="2"/>
      </tp>
      <tp>
        <v>3402</v>
        <stp/>
        <stp>90007546.SZ</stp>
        <stp>rt_oi</stp>
        <stp>RT_Price</stp>
        <tr r="J132" s="2"/>
      </tp>
      <tp>
        <v>20949</v>
        <stp/>
        <stp>90007566.SZ</stp>
        <stp>rt_oi</stp>
        <stp>RT_Price</stp>
        <tr r="J6" s="2"/>
      </tp>
      <tp>
        <v>61113</v>
        <stp/>
        <stp>90007576.SZ</stp>
        <stp>rt_oi</stp>
        <stp>RT_Price</stp>
        <tr r="J74" s="2"/>
      </tp>
      <tp>
        <v>486</v>
        <stp/>
        <stp>90007506.SZ</stp>
        <stp>rt_oi</stp>
        <stp>RT_Price</stp>
        <tr r="J130" s="2"/>
      </tp>
      <tp>
        <v>10280</v>
        <stp/>
        <stp>90007486.SZ</stp>
        <stp>rt_oi</stp>
        <stp>RT_Price</stp>
        <tr r="J119" s="2"/>
      </tp>
      <tp>
        <v>2637</v>
        <stp/>
        <stp>90007476.SZ</stp>
        <stp>rt_oi</stp>
        <stp>RT_Price</stp>
        <tr r="J112" s="2"/>
      </tp>
      <tp>
        <v>4079</v>
        <stp/>
        <stp>90007416.SZ</stp>
        <stp>rt_oi</stp>
        <stp>RT_Price</stp>
        <tr r="J59" s="2"/>
      </tp>
      <tp>
        <v>1086</v>
        <stp/>
        <stp>90007426.SZ</stp>
        <stp>rt_oi</stp>
        <stp>RT_Price</stp>
        <tr r="J127" s="2"/>
      </tp>
      <tp>
        <v>7009</v>
        <stp/>
        <stp>90007776.SZ</stp>
        <stp>rt_oi</stp>
        <stp>RT_Price</stp>
        <tr r="J85" s="2"/>
      </tp>
      <tp>
        <v>10292</v>
        <stp/>
        <stp>90007706.SZ</stp>
        <stp>rt_oi</stp>
        <stp>RT_Price</stp>
        <tr r="J87" s="2"/>
      </tp>
      <tp>
        <v>2047</v>
        <stp/>
        <stp>90007646.SZ</stp>
        <stp>rt_oi</stp>
        <stp>RT_Price</stp>
        <tr r="J81" s="2"/>
      </tp>
      <tp>
        <v>1765</v>
        <stp/>
        <stp>90007656.SZ</stp>
        <stp>rt_oi</stp>
        <stp>RT_Price</stp>
        <tr r="J82" s="2"/>
      </tp>
      <tp>
        <v>289</v>
        <stp/>
        <stp>90007676.SZ</stp>
        <stp>rt_oi</stp>
        <stp>RT_Price</stp>
        <tr r="J135" s="2"/>
      </tp>
      <tp>
        <v>10525</v>
        <stp/>
        <stp>90007086.SZ</stp>
        <stp>rt_oi</stp>
        <stp>RT_Price</stp>
        <tr r="J107" s="2"/>
      </tp>
      <tp>
        <v>3095</v>
        <stp/>
        <stp>90007076.SZ</stp>
        <stp>rt_oi</stp>
        <stp>RT_Price</stp>
        <tr r="J39" s="2"/>
      </tp>
      <tp>
        <v>0.1173</v>
        <stp/>
        <stp>90007076.SZ</stp>
        <stp>Change</stp>
        <tr r="G39" s="2"/>
      </tp>
      <tp>
        <v>-5.11E-2</v>
        <stp/>
        <stp>90007086.SZ</stp>
        <stp>Change</stp>
        <tr r="G107" s="2"/>
      </tp>
      <tp>
        <v>-8.2900000000000001E-2</v>
        <stp/>
        <stp>90007506.SZ</stp>
        <stp>Change</stp>
        <tr r="G130" s="2"/>
      </tp>
      <tp>
        <v>0.11720000000000001</v>
        <stp/>
        <stp>90007566.SZ</stp>
        <stp>Change</stp>
        <tr r="G6" s="2"/>
      </tp>
      <tp>
        <v>-7.3800000000000004E-2</v>
        <stp/>
        <stp>90007576.SZ</stp>
        <stp>Change</stp>
        <tr r="G74" s="2"/>
      </tp>
      <tp>
        <v>-0.1018</v>
        <stp/>
        <stp>90007546.SZ</stp>
        <stp>Change</stp>
        <tr r="G132" s="2"/>
      </tp>
      <tp>
        <v>-7.5200000000000003E-2</v>
        <stp/>
        <stp>90007426.SZ</stp>
        <stp>Change</stp>
        <tr r="G127" s="2"/>
      </tp>
      <tp>
        <v>0.108</v>
        <stp/>
        <stp>90007416.SZ</stp>
        <stp>Change</stp>
        <tr r="G59" s="2"/>
      </tp>
      <tp>
        <v>-9.3100000000000002E-2</v>
        <stp/>
        <stp>90007476.SZ</stp>
        <stp>Change</stp>
        <tr r="G112" s="2"/>
      </tp>
      <tp>
        <v>-1.9700000000000002E-2</v>
        <stp/>
        <stp>90007486.SZ</stp>
        <stp>Change</stp>
        <tr r="G119" s="2"/>
      </tp>
      <tp>
        <v>-7.2300000000000003E-2</v>
        <stp/>
        <stp>90007706.SZ</stp>
        <stp>Change</stp>
        <tr r="G87" s="2"/>
      </tp>
      <tp>
        <v>-4.5999999999999999E-2</v>
        <stp/>
        <stp>90007776.SZ</stp>
        <stp>Change</stp>
        <tr r="G85" s="2"/>
      </tp>
      <tp>
        <v>-9.7999999999999997E-3</v>
        <stp/>
        <stp>90007676.SZ</stp>
        <stp>Change</stp>
        <tr r="G135" s="2"/>
      </tp>
      <tp>
        <v>-0.15710000000000002</v>
        <stp/>
        <stp>90007646.SZ</stp>
        <stp>Change</stp>
        <tr r="G81" s="2"/>
      </tp>
      <tp>
        <v>-0.1613</v>
        <stp/>
        <stp>90007656.SZ</stp>
        <stp>Change</stp>
        <tr r="G82" s="2"/>
      </tp>
      <tp>
        <v>0.28810000000000002</v>
        <stp/>
        <stp>90007697.SZ</stp>
        <stp>LastPrice</stp>
        <tr r="C20" s="2"/>
      </tp>
      <tp>
        <v>0.23950000000000002</v>
        <stp/>
        <stp>90007698.SZ</stp>
        <stp>LastPrice</stp>
        <tr r="C21" s="2"/>
      </tp>
      <tp>
        <v>0.19400000000000001</v>
        <stp/>
        <stp>90007699.SZ</stp>
        <stp>LastPrice</stp>
        <tr r="C22" s="2"/>
      </tp>
    </main>
    <main first="wdf.rtq">
      <tp>
        <v>0.31320000000000003</v>
        <stp/>
        <stp>90007580.SZ</stp>
        <stp>LastPrice</stp>
        <tr r="C78" s="2"/>
      </tp>
      <tp>
        <v>3.4700000000000002E-2</v>
        <stp/>
        <stp>90007080.SZ</stp>
        <stp>LastPrice</stp>
        <tr r="C101" s="2"/>
      </tp>
      <tp>
        <v>0.39580000000000004</v>
        <stp/>
        <stp>90007581.SZ</stp>
        <stp>LastPrice</stp>
        <tr r="C79" s="2"/>
      </tp>
      <tp>
        <v>0.7681</v>
        <stp/>
        <stp>90007481.SZ</stp>
        <stp>LastPrice</stp>
        <tr r="C53" s="2"/>
      </tp>
      <tp>
        <v>4.5900000000000003E-2</v>
        <stp/>
        <stp>90007081.SZ</stp>
        <stp>LastPrice</stp>
        <tr r="C102" s="2"/>
      </tp>
      <tp>
        <v>0.49340000000000001</v>
        <stp/>
        <stp>90007582.SZ</stp>
        <stp>LastPrice</stp>
        <tr r="C80" s="2"/>
      </tp>
      <tp>
        <v>0.16060000000000002</v>
        <stp/>
        <stp>90007482.SZ</stp>
        <stp>LastPrice</stp>
        <tr r="C120" s="2"/>
      </tp>
      <tp>
        <v>5.9800000000000006E-2</v>
        <stp/>
        <stp>90007082.SZ</stp>
        <stp>LastPrice</stp>
        <tr r="C103" s="2"/>
      </tp>
      <tp>
        <v>7.7700000000000005E-2</v>
        <stp/>
        <stp>90007083.SZ</stp>
        <stp>LastPrice</stp>
        <tr r="C104" s="2"/>
      </tp>
      <tp>
        <v>0.10990000000000001</v>
        <stp/>
        <stp>90007137.SZ</stp>
        <stp>Change</stp>
        <tr r="G31" s="2"/>
      </tp>
      <tp>
        <v>0.11</v>
        <stp/>
        <stp>90007077.SZ</stp>
        <stp>Change</stp>
        <tr r="G40" s="2"/>
      </tp>
      <tp>
        <v>0.1003</v>
        <stp/>
        <stp>90007084.SZ</stp>
        <stp>LastPrice</stp>
        <tr r="C105" s="2"/>
      </tp>
      <tp>
        <v>8.72E-2</v>
        <stp/>
        <stp>90007367.SZ</stp>
        <stp>Change</stp>
        <tr r="G43" s="2"/>
      </tp>
      <tp>
        <v>8.0100000000000005E-2</v>
        <stp/>
        <stp>90007387.SZ</stp>
        <stp>Change</stp>
        <tr r="G44" s="2"/>
      </tp>
      <tp>
        <v>5.67E-2</v>
        <stp/>
        <stp>90007527.SZ</stp>
        <stp>Change</stp>
        <tr r="G47" s="2"/>
      </tp>
      <tp>
        <v>9.6200000000000008E-2</v>
        <stp/>
        <stp>90007567.SZ</stp>
        <stp>Change</stp>
        <tr r="G7" s="2"/>
      </tp>
      <tp>
        <v>-9.5600000000000004E-2</v>
        <stp/>
        <stp>90007577.SZ</stp>
        <stp>Change</stp>
        <tr r="G75" s="2"/>
      </tp>
      <tp>
        <v>-8.3600000000000008E-2</v>
        <stp/>
        <stp>90007427.SZ</stp>
        <stp>Change</stp>
        <tr r="G128" s="2"/>
      </tp>
      <tp>
        <v>0.1043</v>
        <stp/>
        <stp>90007417.SZ</stp>
        <stp>Change</stp>
        <tr r="G60" s="2"/>
      </tp>
      <tp>
        <v>-8.270000000000001E-2</v>
        <stp/>
        <stp>90007707.SZ</stp>
        <stp>Change</stp>
        <tr r="G88" s="2"/>
      </tp>
      <tp>
        <v>0.1115</v>
        <stp/>
        <stp>90007757.SZ</stp>
        <stp>Change</stp>
        <tr r="G19" s="2"/>
      </tp>
      <tp>
        <v>4.3700000000000003E-2</v>
        <stp/>
        <stp>90007647.SZ</stp>
        <stp>Change</stp>
        <tr r="G49" s="2"/>
      </tp>
      <tp>
        <v>3.8100000000000002E-2</v>
        <stp/>
        <stp>90007657.SZ</stp>
        <stp>Change</stp>
        <tr r="G50" s="2"/>
      </tp>
      <tp>
        <v>9.5500000000000002E-2</v>
        <stp/>
        <stp>90007697.SZ</stp>
        <stp>Change</stp>
        <tr r="G20" s="2"/>
      </tp>
      <tp>
        <v>0.84789999999999999</v>
        <stp/>
        <stp>90007485.SZ</stp>
        <stp>LastPrice</stp>
        <tr r="C52" s="2"/>
      </tp>
      <tp>
        <v>0.1295</v>
        <stp/>
        <stp>90007085.SZ</stp>
        <stp>LastPrice</stp>
        <tr r="C106" s="2"/>
      </tp>
      <tp>
        <v>0.13930000000000001</v>
        <stp/>
        <stp>90007486.SZ</stp>
        <stp>LastPrice</stp>
        <tr r="C119" s="2"/>
      </tp>
      <tp>
        <v>0.16190000000000002</v>
        <stp/>
        <stp>90007086.SZ</stp>
        <stp>LastPrice</stp>
        <tr r="C107" s="2"/>
      </tp>
      <tp>
        <v>0.24430000000000002</v>
        <stp/>
        <stp>90007387.SZ</stp>
        <stp>LastPrice</stp>
        <tr r="C44" s="2"/>
      </tp>
      <tp>
        <v>0.35910000000000003</v>
        <stp/>
        <stp>90007388.SZ</stp>
        <stp>LastPrice</stp>
        <tr r="C111" s="2"/>
      </tp>
      <tp>
        <v>0.14000000000000001</v>
        <stp/>
        <stp>90007074.SZ</stp>
        <stp>Change</stp>
        <tr r="G37" s="2"/>
      </tp>
      <tp>
        <v>-3.3399999999999999E-2</v>
        <stp/>
        <stp>90007084.SZ</stp>
        <stp>Change</stp>
        <tr r="G105" s="2"/>
      </tp>
      <tp>
        <v>-2.6000000000000003E-3</v>
        <stp/>
        <stp>90007324.SZ</stp>
        <stp>Change</stp>
        <tr r="G97" s="2"/>
      </tp>
      <tp>
        <v>-5.8300000000000005E-2</v>
        <stp/>
        <stp>90007344.SZ</stp>
        <stp>Change</stp>
        <tr r="G108" s="2"/>
      </tp>
      <tp>
        <v>-9.870000000000001E-2</v>
        <stp/>
        <stp>90007504.SZ</stp>
        <stp>Change</stp>
        <tr r="G113" s="2"/>
      </tp>
      <tp>
        <v>-3.44E-2</v>
        <stp/>
        <stp>90007574.SZ</stp>
        <stp>Change</stp>
        <tr r="G72" s="2"/>
      </tp>
      <tp>
        <v>-0.12909999999999999</v>
        <stp/>
        <stp>90007544.SZ</stp>
        <stp>Change</stp>
        <tr r="G115" s="2"/>
      </tp>
      <tp>
        <v>-5.57E-2</v>
        <stp/>
        <stp>90007424.SZ</stp>
        <stp>Change</stp>
        <tr r="G125" s="2"/>
      </tp>
      <tp>
        <v>0.11860000000000001</v>
        <stp/>
        <stp>90007414.SZ</stp>
        <stp>Change</stp>
        <tr r="G57" s="2"/>
      </tp>
      <tp>
        <v>2.64E-2</v>
        <stp/>
        <stp>90007704.SZ</stp>
        <stp>Change</stp>
        <tr r="G27" s="2"/>
      </tp>
      <tp>
        <v>2.87E-2</v>
        <stp/>
        <stp>90007714.SZ</stp>
        <stp>Change</stp>
        <tr r="G95" s="2"/>
      </tp>
      <tp>
        <v>0.1187</v>
        <stp/>
        <stp>90007774.SZ</stp>
        <stp>Change</stp>
        <tr r="G18" s="2"/>
      </tp>
      <tp>
        <v>-0.1527</v>
        <stp/>
        <stp>90007754.SZ</stp>
        <stp>Change</stp>
        <tr r="G96" s="2"/>
      </tp>
      <tp>
        <v>-0.11380000000000001</v>
        <stp/>
        <stp>90007674.SZ</stp>
        <stp>Change</stp>
        <tr r="G118" s="2"/>
      </tp>
    </main>
    <main first="wdf.rtq">
      <tp>
        <v>0.11520000000000001</v>
        <stp/>
        <stp>90007075.SZ</stp>
        <stp>Change</stp>
        <tr r="G38" s="2"/>
      </tp>
      <tp>
        <v>-4.0800000000000003E-2</v>
        <stp/>
        <stp>90007085.SZ</stp>
        <stp>Change</stp>
        <tr r="G106" s="2"/>
      </tp>
      <tp>
        <v>6.5500000000000003E-2</v>
        <stp/>
        <stp>90007505.SZ</stp>
        <stp>Change</stp>
        <tr r="G63" s="2"/>
      </tp>
      <tp>
        <v>0.1363</v>
        <stp/>
        <stp>90007565.SZ</stp>
        <stp>Change</stp>
        <tr r="G5" s="2"/>
      </tp>
      <tp>
        <v>-5.11E-2</v>
        <stp/>
        <stp>90007575.SZ</stp>
        <stp>Change</stp>
        <tr r="G73" s="2"/>
      </tp>
      <tp>
        <v>6.7400000000000002E-2</v>
        <stp/>
        <stp>90007545.SZ</stp>
        <stp>Change</stp>
        <tr r="G65" s="2"/>
      </tp>
      <tp>
        <v>-6.6700000000000009E-2</v>
        <stp/>
        <stp>90007425.SZ</stp>
        <stp>Change</stp>
        <tr r="G126" s="2"/>
      </tp>
      <tp>
        <v>0.10840000000000001</v>
        <stp/>
        <stp>90007415.SZ</stp>
        <stp>Change</stp>
        <tr r="G58" s="2"/>
      </tp>
      <tp>
        <v>7.1900000000000006E-2</v>
        <stp/>
        <stp>90007475.SZ</stp>
        <stp>Change</stp>
        <tr r="G45" s="2"/>
      </tp>
      <tp>
        <v>0.13650000000000001</v>
        <stp/>
        <stp>90007485.SZ</stp>
        <stp>Change</stp>
        <tr r="G52" s="2"/>
      </tp>
      <tp>
        <v>2.0400000000000001E-2</v>
        <stp/>
        <stp>90007705.SZ</stp>
        <stp>Change</stp>
        <tr r="G28" s="2"/>
      </tp>
      <tp>
        <v>-3.61E-2</v>
        <stp/>
        <stp>90007775.SZ</stp>
        <stp>Change</stp>
        <tr r="G84" s="2"/>
      </tp>
      <tp>
        <v>5.3700000000000005E-2</v>
        <stp/>
        <stp>90007675.SZ</stp>
        <stp>Change</stp>
        <tr r="G68" s="2"/>
      </tp>
      <tp>
        <v>8.3000000000000001E-3</v>
        <stp/>
        <stp>90007645.SZ</stp>
        <stp>Change</stp>
        <tr r="G14" s="2"/>
      </tp>
      <tp>
        <v>6.8000000000000005E-3</v>
        <stp/>
        <stp>90007655.SZ</stp>
        <stp>Change</stp>
        <tr r="G15" s="2"/>
      </tp>
      <tp>
        <v>0.11020000000000001</v>
        <stp/>
        <stp>90007072.SZ</stp>
        <stp>Change</stp>
        <tr r="G35" s="2"/>
      </tp>
      <tp>
        <v>-1.8800000000000001E-2</v>
        <stp/>
        <stp>90007082.SZ</stp>
        <stp>Change</stp>
        <tr r="G103" s="2"/>
      </tp>
      <tp>
        <v>-7.1000000000000008E-2</v>
        <stp/>
        <stp>90007352.SZ</stp>
        <stp>Change</stp>
        <tr r="G109" s="2"/>
      </tp>
      <tp>
        <v>1.7600000000000001E-2</v>
        <stp/>
        <stp>90007572.SZ</stp>
        <stp>Change</stp>
        <tr r="G12" s="2"/>
      </tp>
      <tp>
        <v>-0.15490000000000001</v>
        <stp/>
        <stp>90007582.SZ</stp>
        <stp>Change</stp>
        <tr r="G80" s="2"/>
      </tp>
      <tp>
        <v>-4.6600000000000003E-2</v>
        <stp/>
        <stp>90007422.SZ</stp>
        <stp>Change</stp>
        <tr r="G123" s="2"/>
      </tp>
      <tp>
        <v>0.13009999999999999</v>
        <stp/>
        <stp>90007412.SZ</stp>
        <stp>Change</stp>
        <tr r="G55" s="2"/>
      </tp>
      <tp>
        <v>-2.4800000000000003E-2</v>
        <stp/>
        <stp>90007482.SZ</stp>
        <stp>Change</stp>
        <tr r="G120" s="2"/>
      </tp>
      <tp>
        <v>4.2599999999999999E-2</v>
        <stp/>
        <stp>90007702.SZ</stp>
        <stp>Change</stp>
        <tr r="G25" s="2"/>
      </tp>
      <tp>
        <v>-0.12300000000000001</v>
        <stp/>
        <stp>90007712.SZ</stp>
        <stp>Change</stp>
        <tr r="G93" s="2"/>
      </tp>
      <tp>
        <v>-1.9E-2</v>
        <stp/>
        <stp>90007622.SZ</stp>
        <stp>Change</stp>
        <tr r="G71" s="2"/>
      </tp>
      <tp>
        <v>-8.8000000000000005E-3</v>
        <stp/>
        <stp>90007632.SZ</stp>
        <stp>Change</stp>
        <tr r="G70" s="2"/>
      </tp>
      <tp>
        <v>-0.1694</v>
        <stp/>
        <stp>90007672.SZ</stp>
        <stp>Change</stp>
        <tr r="G83" s="2"/>
      </tp>
    </main>
    <main first="wdf.rtq">
      <tp>
        <v>0.14430000000000001</v>
        <stp/>
        <stp>90007073.SZ</stp>
        <stp>Change</stp>
        <tr r="G36" s="2"/>
      </tp>
      <tp>
        <v>-2.58E-2</v>
        <stp/>
        <stp>90007083.SZ</stp>
        <stp>Change</stp>
        <tr r="G104" s="2"/>
      </tp>
      <tp>
        <v>0.1062</v>
        <stp/>
        <stp>90007323.SZ</stp>
        <stp>Change</stp>
        <tr r="G30" s="2"/>
      </tp>
      <tp>
        <v>0.1071</v>
        <stp/>
        <stp>90007343.SZ</stp>
        <stp>Change</stp>
        <tr r="G41" s="2"/>
      </tp>
      <tp>
        <v>6.2300000000000001E-2</v>
        <stp/>
        <stp>90007503.SZ</stp>
        <stp>Change</stp>
        <tr r="G46" s="2"/>
      </tp>
      <tp>
        <v>1.2800000000000001E-2</v>
        <stp/>
        <stp>90007573.SZ</stp>
        <stp>Change</stp>
        <tr r="G13" s="2"/>
      </tp>
      <tp>
        <v>4.87E-2</v>
        <stp/>
        <stp>90007543.SZ</stp>
        <stp>Change</stp>
        <tr r="G48" s="2"/>
      </tp>
      <tp>
        <v>-5.1200000000000002E-2</v>
        <stp/>
        <stp>90007423.SZ</stp>
        <stp>Change</stp>
        <tr r="G124" s="2"/>
      </tp>
      <tp>
        <v>0.12240000000000001</v>
        <stp/>
        <stp>90007413.SZ</stp>
        <stp>Change</stp>
        <tr r="G56" s="2"/>
      </tp>
      <tp>
        <v>3.32E-2</v>
        <stp/>
        <stp>90007703.SZ</stp>
        <stp>Change</stp>
        <tr r="G26" s="2"/>
      </tp>
      <tp>
        <v>2.46E-2</v>
        <stp/>
        <stp>90007713.SZ</stp>
        <stp>Change</stp>
        <tr r="G94" s="2"/>
      </tp>
      <tp>
        <v>0.12890000000000001</v>
        <stp/>
        <stp>90007773.SZ</stp>
        <stp>Change</stp>
        <tr r="G17" s="2"/>
      </tp>
      <tp>
        <v>1.6800000000000002E-2</v>
        <stp/>
        <stp>90007753.SZ</stp>
        <stp>Change</stp>
        <tr r="G29" s="2"/>
      </tp>
      <tp>
        <v>3.1900000000000005E-2</v>
        <stp/>
        <stp>90007673.SZ</stp>
        <stp>Change</stp>
        <tr r="G51" s="2"/>
      </tp>
    </main>
    <main first="wdf.rtq">
      <tp>
        <v>8.8599999999999998E-2</v>
        <stp/>
        <stp>90007070.SZ</stp>
        <stp>Change</stp>
        <tr r="G33" s="2"/>
      </tp>
      <tp>
        <v>-9.0000000000000011E-3</v>
        <stp/>
        <stp>90007080.SZ</stp>
        <stp>Change</stp>
        <tr r="G101" s="2"/>
      </tp>
      <tp>
        <v>0</v>
        <stp/>
        <stp>90007530.SZ</stp>
        <stp>Change</stp>
        <tr r="G131" s="2"/>
      </tp>
      <tp>
        <v>3.7400000000000003E-2</v>
        <stp/>
        <stp>90007570.SZ</stp>
        <stp>Change</stp>
        <tr r="G10" s="2"/>
      </tp>
      <tp>
        <v>-0.1424</v>
        <stp/>
        <stp>90007580.SZ</stp>
        <stp>Change</stp>
        <tr r="G78" s="2"/>
      </tp>
      <tp>
        <v>-3.5500000000000004E-2</v>
        <stp/>
        <stp>90007420.SZ</stp>
        <stp>Change</stp>
        <tr r="G121" s="2"/>
      </tp>
      <tp>
        <v>6.1100000000000002E-2</v>
        <stp/>
        <stp>90007700.SZ</stp>
        <stp>Change</stp>
        <tr r="G23" s="2"/>
      </tp>
      <tp>
        <v>-0.11670000000000001</v>
        <stp/>
        <stp>90007710.SZ</stp>
        <stp>Change</stp>
        <tr r="G91" s="2"/>
      </tp>
      <tp>
        <v>0.16320000000000001</v>
        <stp/>
        <stp>90007630.SZ</stp>
        <stp>Change</stp>
        <tr r="G3" s="2"/>
      </tp>
      <tp>
        <v>0</v>
        <stp/>
        <stp>90007660.SZ</stp>
        <stp>Change</stp>
        <tr r="G134" s="2"/>
      </tp>
      <tp>
        <v>-9.4200000000000006E-2</v>
        <stp/>
        <stp>90007650.SZ</stp>
        <stp>Change</stp>
        <tr r="G133" s="2"/>
      </tp>
    </main>
    <main first="wdf.rtq">
      <tp>
        <v>0.1163</v>
        <stp/>
        <stp>90007071.SZ</stp>
        <stp>Change</stp>
        <tr r="G34" s="2"/>
      </tp>
      <tp>
        <v>-1.3000000000000001E-2</v>
        <stp/>
        <stp>90007081.SZ</stp>
        <stp>Change</stp>
        <tr r="G102" s="2"/>
      </tp>
      <tp>
        <v>9.8400000000000001E-2</v>
        <stp/>
        <stp>90007351.SZ</stp>
        <stp>Change</stp>
        <tr r="G42" s="2"/>
      </tp>
      <tp>
        <v>2.5500000000000002E-2</v>
        <stp/>
        <stp>90007571.SZ</stp>
        <stp>Change</stp>
        <tr r="G11" s="2"/>
      </tp>
      <tp>
        <v>-0.15340000000000001</v>
        <stp/>
        <stp>90007581.SZ</stp>
        <stp>Change</stp>
        <tr r="G79" s="2"/>
      </tp>
      <tp>
        <v>-3.7200000000000004E-2</v>
        <stp/>
        <stp>90007421.SZ</stp>
        <stp>Change</stp>
        <tr r="G122" s="2"/>
      </tp>
      <tp>
        <v>0.12290000000000001</v>
        <stp/>
        <stp>90007411.SZ</stp>
        <stp>Change</stp>
        <tr r="G54" s="2"/>
      </tp>
      <tp>
        <v>0.1318</v>
        <stp/>
        <stp>90007481.SZ</stp>
        <stp>Change</stp>
        <tr r="G53" s="2"/>
      </tp>
      <tp>
        <v>4.9000000000000002E-2</v>
        <stp/>
        <stp>90007701.SZ</stp>
        <stp>Change</stp>
        <tr r="G24" s="2"/>
      </tp>
      <tp>
        <v>-0.12440000000000001</v>
        <stp/>
        <stp>90007711.SZ</stp>
        <stp>Change</stp>
        <tr r="G92" s="2"/>
      </tp>
      <tp>
        <v>0.1515</v>
        <stp/>
        <stp>90007621.SZ</stp>
        <stp>Change</stp>
        <tr r="G4" s="2"/>
      </tp>
      <tp>
        <v>-4.1000000000000003E-3</v>
        <stp/>
        <stp>90007631.SZ</stp>
        <stp>Change</stp>
        <tr r="G69" s="2"/>
      </tp>
      <tp>
        <v>4.8000000000000004E-3</v>
        <stp/>
        <stp>90007671.SZ</stp>
        <stp>Change</stp>
        <tr r="G16" s="2"/>
      </tp>
      <tp>
        <v>0.41540000000000005</v>
        <stp/>
        <stp>90007710.SZ</stp>
        <stp>LastPrice</stp>
        <tr r="C91" s="2"/>
      </tp>
      <tp>
        <v>0.49080000000000001</v>
        <stp/>
        <stp>90007711.SZ</stp>
        <stp>LastPrice</stp>
        <tr r="C92" s="2"/>
      </tp>
      <tp>
        <v>0.70000000000000007</v>
        <stp/>
        <stp>90007411.SZ</stp>
        <stp>LastPrice</stp>
        <tr r="C54" s="2"/>
      </tp>
      <tp>
        <v>0.57900000000000007</v>
        <stp/>
        <stp>90007712.SZ</stp>
        <stp>LastPrice</stp>
        <tr r="C93" s="2"/>
      </tp>
      <tp>
        <v>0.64540000000000008</v>
        <stp/>
        <stp>90007412.SZ</stp>
        <stp>LastPrice</stp>
        <tr r="C55" s="2"/>
      </tp>
      <tp>
        <v>0.81600000000000006</v>
        <stp/>
        <stp>90007713.SZ</stp>
        <stp>LastPrice</stp>
        <tr r="C94" s="2"/>
      </tp>
      <tp>
        <v>0.58440000000000003</v>
        <stp/>
        <stp>90007413.SZ</stp>
        <stp>LastPrice</stp>
        <tr r="C56" s="2"/>
      </tp>
      <tp>
        <v>0.91200000000000003</v>
        <stp/>
        <stp>90007714.SZ</stp>
        <stp>LastPrice</stp>
        <tr r="C95" s="2"/>
      </tp>
      <tp>
        <v>0.52580000000000005</v>
        <stp/>
        <stp>90007414.SZ</stp>
        <stp>LastPrice</stp>
        <tr r="C57" s="2"/>
      </tp>
      <tp>
        <v>0.47210000000000002</v>
        <stp/>
        <stp>90007415.SZ</stp>
        <stp>LastPrice</stp>
        <tr r="C58" s="2"/>
      </tp>
      <tp>
        <v>0.42850000000000005</v>
        <stp/>
        <stp>90007416.SZ</stp>
        <stp>LastPrice</stp>
        <tr r="C59" s="2"/>
      </tp>
      <tp>
        <v>0.38520000000000004</v>
        <stp/>
        <stp>90007417.SZ</stp>
        <stp>LastPrice</stp>
        <tr r="C60" s="2"/>
      </tp>
      <tp>
        <v>0.34490000000000004</v>
        <stp/>
        <stp>90007418.SZ</stp>
        <stp>LastPrice</stp>
        <tr r="C61" s="2"/>
      </tp>
      <tp>
        <v>0.30770000000000003</v>
        <stp/>
        <stp>90007419.SZ</stp>
        <stp>LastPrice</stp>
        <tr r="C62" s="2"/>
      </tp>
      <tp>
        <v>0.15720000000000001</v>
        <stp/>
        <stp>90007700.SZ</stp>
        <stp>LastPrice</stp>
        <tr r="C23" s="2"/>
      </tp>
      <tp>
        <v>0.126</v>
        <stp/>
        <stp>90007701.SZ</stp>
        <stp>LastPrice</stp>
        <tr r="C24" s="2"/>
      </tp>
      <tp>
        <v>0.10160000000000001</v>
        <stp/>
        <stp>90007702.SZ</stp>
        <stp>LastPrice</stp>
        <tr r="C25" s="2"/>
      </tp>
      <tp>
        <v>8.0600000000000005E-2</v>
        <stp/>
        <stp>90007703.SZ</stp>
        <stp>LastPrice</stp>
        <tr r="C26" s="2"/>
      </tp>
      <tp>
        <v>0.1784</v>
        <stp/>
        <stp>90007503.SZ</stp>
        <stp>LastPrice</stp>
        <tr r="C46" s="2"/>
      </tp>
      <tp>
        <v>6.3800000000000009E-2</v>
        <stp/>
        <stp>90007704.SZ</stp>
        <stp>LastPrice</stp>
        <tr r="C27" s="2"/>
      </tp>
      <tp>
        <v>0.4889</v>
        <stp/>
        <stp>90007504.SZ</stp>
        <stp>LastPrice</stp>
        <tr r="C113" s="2"/>
      </tp>
      <tp>
        <v>0.05</v>
        <stp/>
        <stp>90007705.SZ</stp>
        <stp>LastPrice</stp>
        <tr r="C28" s="2"/>
      </tp>
      <tp>
        <v>0.26130000000000003</v>
        <stp/>
        <stp>90007505.SZ</stp>
        <stp>LastPrice</stp>
        <tr r="C63" s="2"/>
      </tp>
      <tp>
        <v>0.1782</v>
        <stp/>
        <stp>90007706.SZ</stp>
        <stp>LastPrice</stp>
        <tr r="C87" s="2"/>
      </tp>
      <tp>
        <v>0.65650000000000008</v>
        <stp/>
        <stp>90007506.SZ</stp>
        <stp>LastPrice</stp>
        <tr r="C130" s="2"/>
      </tp>
      <tp>
        <v>0.22750000000000001</v>
        <stp/>
        <stp>90007707.SZ</stp>
        <stp>LastPrice</stp>
        <tr r="C88" s="2"/>
      </tp>
      <tp>
        <v>0.28520000000000001</v>
        <stp/>
        <stp>90007708.SZ</stp>
        <stp>LastPrice</stp>
        <tr r="C89" s="2"/>
      </tp>
      <tp>
        <v>0.34720000000000001</v>
        <stp/>
        <stp>90007709.SZ</stp>
        <stp>LastPrice</stp>
        <tr r="C90" s="2"/>
      </tp>
    </main>
    <main first="wdf.rtq">
      <tp>
        <v>0.53600000000000003</v>
        <stp/>
        <stp>90007630.SZ</stp>
        <stp>LastPrice</stp>
        <tr r="C3" s="2"/>
      </tp>
      <tp>
        <v>0.78</v>
        <stp/>
        <stp>90007530.SZ</stp>
        <stp>LastPrice</stp>
        <tr r="C131" s="2"/>
      </tp>
      <tp>
        <v>2.4000000000000002E-3</v>
        <stp/>
        <stp>90007631.SZ</stp>
        <stp>LastPrice</stp>
        <tr r="C69" s="2"/>
      </tp>
      <tp>
        <v>5.1000000000000004E-3</v>
        <stp/>
        <stp>90007632.SZ</stp>
        <stp>LastPrice</stp>
        <tr r="C70" s="2"/>
      </tp>
      <tp>
        <v>1.0979000000000001</v>
        <stp/>
        <stp>90007137.SZ</stp>
        <stp>LastPrice</stp>
        <tr r="C31" s="2"/>
      </tp>
      <tp>
        <v>1.9100000000000002E-2</v>
        <stp/>
        <stp>90007138.SZ</stp>
        <stp>LastPrice</stp>
        <tr r="C98" s="2"/>
      </tp>
    </main>
    <main first="wdf.rtq">
      <tp>
        <v>0.1895</v>
        <stp/>
        <stp>90007420.SZ</stp>
        <stp>LastPrice</stp>
        <tr r="C121" s="2"/>
      </tp>
      <tp>
        <v>0.44270000000000004</v>
        <stp/>
        <stp>90007621.SZ</stp>
        <stp>LastPrice</stp>
        <tr r="C4" s="2"/>
      </tp>
      <tp>
        <v>0.2268</v>
        <stp/>
        <stp>90007421.SZ</stp>
        <stp>LastPrice</stp>
        <tr r="C122" s="2"/>
      </tp>
      <tp>
        <v>9.7000000000000003E-3</v>
        <stp/>
        <stp>90007622.SZ</stp>
        <stp>LastPrice</stp>
        <tr r="C71" s="2"/>
      </tp>
      <tp>
        <v>0.26100000000000001</v>
        <stp/>
        <stp>90007422.SZ</stp>
        <stp>LastPrice</stp>
        <tr r="C123" s="2"/>
      </tp>
      <tp>
        <v>0.30510000000000004</v>
        <stp/>
        <stp>90007423.SZ</stp>
        <stp>LastPrice</stp>
        <tr r="C124" s="2"/>
      </tp>
      <tp>
        <v>1.1431</v>
        <stp/>
        <stp>90007323.SZ</stp>
        <stp>LastPrice</stp>
        <tr r="C30" s="2"/>
      </tp>
      <tp>
        <v>0.35520000000000002</v>
        <stp/>
        <stp>90007424.SZ</stp>
        <stp>LastPrice</stp>
        <tr r="C125" s="2"/>
      </tp>
      <tp>
        <v>1.6400000000000001E-2</v>
        <stp/>
        <stp>90007324.SZ</stp>
        <stp>LastPrice</stp>
        <tr r="C97" s="2"/>
      </tp>
      <tp>
        <v>0.40350000000000003</v>
        <stp/>
        <stp>90007425.SZ</stp>
        <stp>LastPrice</stp>
        <tr r="C126" s="2"/>
      </tp>
      <tp>
        <v>0.45710000000000001</v>
        <stp/>
        <stp>90007426.SZ</stp>
        <stp>LastPrice</stp>
        <tr r="C127" s="2"/>
      </tp>
      <tp>
        <v>0.15210000000000001</v>
        <stp/>
        <stp>90007527.SZ</stp>
        <stp>LastPrice</stp>
        <tr r="C47" s="2"/>
      </tp>
      <tp>
        <v>0.51500000000000001</v>
        <stp/>
        <stp>90007427.SZ</stp>
        <stp>LastPrice</stp>
        <tr r="C128" s="2"/>
      </tp>
      <tp>
        <v>0.55320000000000003</v>
        <stp/>
        <stp>90007528.SZ</stp>
        <stp>LastPrice</stp>
        <tr r="C114" s="2"/>
      </tp>
      <tp>
        <v>0.57700000000000007</v>
        <stp/>
        <stp>90007428.SZ</stp>
        <stp>LastPrice</stp>
        <tr r="C129" s="2"/>
      </tp>
      <tp>
        <v>0.63360000000000005</v>
        <stp/>
        <stp>90007629.SZ</stp>
        <stp>LastPrice</stp>
        <tr r="C2" s="2"/>
      </tp>
      <tp>
        <v>0.24690000000000001</v>
        <stp/>
        <stp>90007529.SZ</stp>
        <stp>LastPrice</stp>
        <tr r="C64" s="2"/>
      </tp>
    </main>
    <main first="wdf.rtq">
      <tp>
        <v>0.88180000000000003</v>
        <stp/>
        <stp>90007650.SZ</stp>
        <stp>LastPrice</stp>
        <tr r="C133" s="2"/>
      </tp>
      <tp>
        <v>0.33290000000000003</v>
        <stp/>
        <stp>90007351.SZ</stp>
        <stp>LastPrice</stp>
        <tr r="C42" s="2"/>
      </tp>
      <tp>
        <v>0.24630000000000002</v>
        <stp/>
        <stp>90007352.SZ</stp>
        <stp>LastPrice</stp>
        <tr r="C109" s="2"/>
      </tp>
      <tp>
        <v>4.0300000000000002E-2</v>
        <stp/>
        <stp>90007753.SZ</stp>
        <stp>LastPrice</stp>
        <tr r="C29" s="2"/>
      </tp>
      <tp>
        <v>0.8216</v>
        <stp/>
        <stp>90007754.SZ</stp>
        <stp>LastPrice</stp>
        <tr r="C96" s="2"/>
      </tp>
      <tp>
        <v>1.1600000000000001E-2</v>
        <stp/>
        <stp>90007655.SZ</stp>
        <stp>LastPrice</stp>
        <tr r="C15" s="2"/>
      </tp>
      <tp>
        <v>0.67800000000000005</v>
        <stp/>
        <stp>90007656.SZ</stp>
        <stp>LastPrice</stp>
        <tr r="C82" s="2"/>
      </tp>
      <tp>
        <v>0.3473</v>
        <stp/>
        <stp>90007757.SZ</stp>
        <stp>LastPrice</stp>
        <tr r="C19" s="2"/>
      </tp>
      <tp>
        <v>9.5899999999999999E-2</v>
        <stp/>
        <stp>90007657.SZ</stp>
        <stp>LastPrice</stp>
        <tr r="C50" s="2"/>
      </tp>
      <tp>
        <v>0.13300000000000001</v>
        <stp/>
        <stp>90007758.SZ</stp>
        <stp>LastPrice</stp>
        <tr r="C86" s="2"/>
      </tp>
      <tp>
        <v>0.88880000000000003</v>
        <stp/>
        <stp>90007658.SZ</stp>
        <stp>LastPrice</stp>
        <tr r="C117" s="2"/>
      </tp>
      <tp>
        <v>0.1792</v>
        <stp/>
        <stp>90007659.SZ</stp>
        <stp>LastPrice</stp>
        <tr r="C67" s="2"/>
      </tp>
    </main>
    <main first="wdf.rtq">
      <tp>
        <v>0.12970000000000001</v>
        <stp/>
        <stp>90007543.SZ</stp>
        <stp>LastPrice</stp>
        <tr r="C48" s="2"/>
      </tp>
      <tp>
        <v>0.38440000000000002</v>
        <stp/>
        <stp>90007343.SZ</stp>
        <stp>LastPrice</stp>
        <tr r="C41" s="2"/>
      </tp>
      <tp>
        <v>0.63770000000000004</v>
        <stp/>
        <stp>90007544.SZ</stp>
        <stp>LastPrice</stp>
        <tr r="C115" s="2"/>
      </tp>
      <tp>
        <v>0.2041</v>
        <stp/>
        <stp>90007344.SZ</stp>
        <stp>LastPrice</stp>
        <tr r="C108" s="2"/>
      </tp>
      <tp>
        <v>1.4700000000000001E-2</v>
        <stp/>
        <stp>90007645.SZ</stp>
        <stp>LastPrice</stp>
        <tr r="C14" s="2"/>
      </tp>
      <tp>
        <v>0.22070000000000001</v>
        <stp/>
        <stp>90007545.SZ</stp>
        <stp>LastPrice</stp>
        <tr r="C65" s="2"/>
      </tp>
      <tp>
        <v>0.58320000000000005</v>
        <stp/>
        <stp>90007646.SZ</stp>
        <stp>LastPrice</stp>
        <tr r="C81" s="2"/>
      </tp>
      <tp>
        <v>0.79180000000000006</v>
        <stp/>
        <stp>90007546.SZ</stp>
        <stp>LastPrice</stp>
        <tr r="C132" s="2"/>
      </tp>
      <tp>
        <v>0.11180000000000001</v>
        <stp/>
        <stp>90007647.SZ</stp>
        <stp>LastPrice</stp>
        <tr r="C49" s="2"/>
      </tp>
      <tp>
        <v>0.72000000000000008</v>
        <stp/>
        <stp>90007648.SZ</stp>
        <stp>LastPrice</stp>
        <tr r="C116" s="2"/>
      </tp>
      <tp>
        <v>0.1961</v>
        <stp/>
        <stp>90007649.SZ</stp>
        <stp>LastPrice</stp>
        <tr r="C66" s="2"/>
      </tp>
    </main>
    <main first="wdf.rtq">
      <tp>
        <v>6.54E-2</v>
        <stp/>
        <stp>90007570.SZ</stp>
        <stp>LastPrice</stp>
        <tr r="C10" s="2"/>
      </tp>
      <tp>
        <v>0.97970000000000002</v>
        <stp/>
        <stp>90007070.SZ</stp>
        <stp>LastPrice</stp>
        <tr r="C33" s="2"/>
      </tp>
      <tp>
        <v>8.0999999999999996E-3</v>
        <stp/>
        <stp>90007671.SZ</stp>
        <stp>LastPrice</stp>
        <tr r="C16" s="2"/>
      </tp>
      <tp>
        <v>4.4600000000000001E-2</v>
        <stp/>
        <stp>90007571.SZ</stp>
        <stp>LastPrice</stp>
        <tr r="C11" s="2"/>
      </tp>
      <tp>
        <v>0.9123</v>
        <stp/>
        <stp>90007071.SZ</stp>
        <stp>LastPrice</stp>
        <tr r="C34" s="2"/>
      </tp>
      <tp>
        <v>0.77060000000000006</v>
        <stp/>
        <stp>90007672.SZ</stp>
        <stp>LastPrice</stp>
        <tr r="C83" s="2"/>
      </tp>
      <tp>
        <v>3.0600000000000002E-2</v>
        <stp/>
        <stp>90007572.SZ</stp>
        <stp>LastPrice</stp>
        <tr r="C12" s="2"/>
      </tp>
      <tp>
        <v>0.81380000000000008</v>
        <stp/>
        <stp>90007072.SZ</stp>
        <stp>LastPrice</stp>
        <tr r="C35" s="2"/>
      </tp>
      <tp>
        <v>0.48230000000000001</v>
        <stp/>
        <stp>90007773.SZ</stp>
        <stp>LastPrice</stp>
        <tr r="C17" s="2"/>
      </tp>
      <tp>
        <v>8.1799999999999998E-2</v>
        <stp/>
        <stp>90007673.SZ</stp>
        <stp>LastPrice</stp>
        <tr r="C51" s="2"/>
      </tp>
      <tp>
        <v>2.2100000000000002E-2</v>
        <stp/>
        <stp>90007573.SZ</stp>
        <stp>LastPrice</stp>
        <tr r="C13" s="2"/>
      </tp>
      <tp>
        <v>0.74299999999999999</v>
        <stp/>
        <stp>90007073.SZ</stp>
        <stp>LastPrice</stp>
        <tr r="C36" s="2"/>
      </tp>
      <tp>
        <v>-3.4000000000000002E-3</v>
        <stp/>
        <stp>90007138.SZ</stp>
        <stp>Change</stp>
        <tr r="G98" s="2"/>
      </tp>
      <tp>
        <v>-4.7000000000000002E-3</v>
        <stp/>
        <stp>90007078.SZ</stp>
        <stp>Change</stp>
        <tr r="G99" s="2"/>
      </tp>
      <tp>
        <v>0.41160000000000002</v>
        <stp/>
        <stp>90007774.SZ</stp>
        <stp>LastPrice</stp>
        <tr r="C18" s="2"/>
      </tp>
      <tp>
        <v>0.91190000000000004</v>
        <stp/>
        <stp>90007674.SZ</stp>
        <stp>LastPrice</stp>
        <tr r="C118" s="2"/>
      </tp>
      <tp>
        <v>0.02</v>
        <stp/>
        <stp>90007574.SZ</stp>
        <stp>LastPrice</stp>
        <tr r="C72" s="2"/>
      </tp>
      <tp>
        <v>0.66</v>
        <stp/>
        <stp>90007074.SZ</stp>
        <stp>LastPrice</stp>
        <tr r="C37" s="2"/>
      </tp>
      <tp>
        <v>-8.0100000000000005E-2</v>
        <stp/>
        <stp>90007368.SZ</stp>
        <stp>Change</stp>
        <tr r="G110" s="2"/>
      </tp>
      <tp>
        <v>-8.6300000000000002E-2</v>
        <stp/>
        <stp>90007388.SZ</stp>
        <stp>Change</stp>
        <tr r="G111" s="2"/>
      </tp>
      <tp>
        <v>-0.1145</v>
        <stp/>
        <stp>90007528.SZ</stp>
        <stp>Change</stp>
        <tr r="G114" s="2"/>
      </tp>
      <tp>
        <v>7.3599999999999999E-2</v>
        <stp/>
        <stp>90007568.SZ</stp>
        <stp>Change</stp>
        <tr r="G8" s="2"/>
      </tp>
      <tp>
        <v>-0.11410000000000001</v>
        <stp/>
        <stp>90007578.SZ</stp>
        <stp>Change</stp>
        <tr r="G76" s="2"/>
      </tp>
      <tp>
        <v>-8.9099999999999999E-2</v>
        <stp/>
        <stp>90007428.SZ</stp>
        <stp>Change</stp>
        <tr r="G129" s="2"/>
      </tp>
      <tp>
        <v>9.4899999999999998E-2</v>
        <stp/>
        <stp>90007418.SZ</stp>
        <stp>Change</stp>
        <tr r="G61" s="2"/>
      </tp>
      <tp>
        <v>-9.4800000000000009E-2</v>
        <stp/>
        <stp>90007708.SZ</stp>
        <stp>Change</stp>
        <tr r="G89" s="2"/>
      </tp>
      <tp>
        <v>-6.3E-2</v>
        <stp/>
        <stp>90007758.SZ</stp>
        <stp>Change</stp>
        <tr r="G86" s="2"/>
      </tp>
      <tp>
        <v>-0.12560000000000002</v>
        <stp/>
        <stp>90007648.SZ</stp>
        <stp>Change</stp>
        <tr r="G116" s="2"/>
      </tp>
      <tp>
        <v>-4.5499999999999999E-2</v>
        <stp/>
        <stp>90007658.SZ</stp>
        <stp>Change</stp>
        <tr r="G117" s="2"/>
      </tp>
      <tp>
        <v>8.6000000000000007E-2</v>
        <stp/>
        <stp>90007698.SZ</stp>
        <stp>Change</stp>
        <tr r="G21" s="2"/>
      </tp>
      <tp>
        <v>7.6100000000000001E-2</v>
        <stp/>
        <stp>90007775.SZ</stp>
        <stp>LastPrice</stp>
        <tr r="C84" s="2"/>
      </tp>
      <tp>
        <v>0.15970000000000001</v>
        <stp/>
        <stp>90007675.SZ</stp>
        <stp>LastPrice</stp>
        <tr r="C68" s="2"/>
      </tp>
      <tp>
        <v>3.7700000000000004E-2</v>
        <stp/>
        <stp>90007575.SZ</stp>
        <stp>LastPrice</stp>
        <tr r="C73" s="2"/>
      </tp>
      <tp>
        <v>0.20900000000000002</v>
        <stp/>
        <stp>90007475.SZ</stp>
        <stp>LastPrice</stp>
        <tr r="C45" s="2"/>
      </tp>
      <tp>
        <v>0.56690000000000007</v>
        <stp/>
        <stp>90007075.SZ</stp>
        <stp>LastPrice</stp>
        <tr r="C38" s="2"/>
      </tp>
      <tp>
        <v>0.10500000000000001</v>
        <stp/>
        <stp>90007776.SZ</stp>
        <stp>LastPrice</stp>
        <tr r="C85" s="2"/>
      </tp>
      <tp>
        <v>1.1352</v>
        <stp/>
        <stp>90007676.SZ</stp>
        <stp>LastPrice</stp>
        <tr r="C135" s="2"/>
      </tp>
      <tp>
        <v>6.5299999999999997E-2</v>
        <stp/>
        <stp>90007576.SZ</stp>
        <stp>LastPrice</stp>
        <tr r="C74" s="2"/>
      </tp>
      <tp>
        <v>0.4269</v>
        <stp/>
        <stp>90007476.SZ</stp>
        <stp>LastPrice</stp>
        <tr r="C112" s="2"/>
      </tp>
      <tp>
        <v>0.50160000000000005</v>
        <stp/>
        <stp>90007076.SZ</stp>
        <stp>LastPrice</stp>
        <tr r="C39" s="2"/>
      </tp>
      <tp>
        <v>0.1076</v>
        <stp/>
        <stp>90007577.SZ</stp>
        <stp>LastPrice</stp>
        <tr r="C75" s="2"/>
      </tp>
      <tp>
        <v>0.44</v>
        <stp/>
        <stp>90007077.SZ</stp>
        <stp>LastPrice</stp>
        <tr r="C40" s="2"/>
      </tp>
      <tp>
        <v>0.16390000000000002</v>
        <stp/>
        <stp>90007578.SZ</stp>
        <stp>LastPrice</stp>
        <tr r="C76" s="2"/>
      </tp>
      <tp>
        <v>2.3200000000000002E-2</v>
        <stp/>
        <stp>90007078.SZ</stp>
        <stp>LastPrice</stp>
        <tr r="C99" s="2"/>
      </tp>
      <tp>
        <v>0.23280000000000001</v>
        <stp/>
        <stp>90007579.SZ</stp>
        <stp>LastPrice</stp>
        <tr r="C77" s="2"/>
      </tp>
      <tp>
        <v>2.6500000000000003E-2</v>
        <stp/>
        <stp>90007079.SZ</stp>
        <stp>LastPrice</stp>
        <tr r="C100" s="2"/>
      </tp>
    </main>
    <main first="wdf.rtq">
      <tp>
        <v>1.0175000000000001</v>
        <stp/>
        <stp>90007660.SZ</stp>
        <stp>LastPrice</stp>
        <tr r="C134" s="2"/>
      </tp>
      <tp>
        <v>5.8999999999999999E-3</v>
        <stp/>
        <stp>90007069.SZ</stp>
        <stp>Change</stp>
        <tr r="G32" s="2"/>
      </tp>
      <tp>
        <v>-6.1000000000000004E-3</v>
        <stp/>
        <stp>90007079.SZ</stp>
        <stp>Change</stp>
        <tr r="G100" s="2"/>
      </tp>
      <tp>
        <v>7.4900000000000008E-2</v>
        <stp/>
        <stp>90007529.SZ</stp>
        <stp>Change</stp>
        <tr r="G64" s="2"/>
      </tp>
      <tp>
        <v>5.3000000000000005E-2</v>
        <stp/>
        <stp>90007569.SZ</stp>
        <stp>Change</stp>
        <tr r="G9" s="2"/>
      </tp>
      <tp>
        <v>-0.1331</v>
        <stp/>
        <stp>90007579.SZ</stp>
        <stp>Change</stp>
        <tr r="G77" s="2"/>
      </tp>
      <tp>
        <v>8.5900000000000004E-2</v>
        <stp/>
        <stp>90007419.SZ</stp>
        <stp>Change</stp>
        <tr r="G62" s="2"/>
      </tp>
      <tp>
        <v>-0.10540000000000001</v>
        <stp/>
        <stp>90007709.SZ</stp>
        <stp>Change</stp>
        <tr r="G90" s="2"/>
      </tp>
      <tp>
        <v>0.1623</v>
        <stp/>
        <stp>90007629.SZ</stp>
        <stp>Change</stp>
        <tr r="G2" s="2"/>
      </tp>
      <tp>
        <v>6.1500000000000006E-2</v>
        <stp/>
        <stp>90007649.SZ</stp>
        <stp>Change</stp>
        <tr r="G66" s="2"/>
      </tp>
      <tp>
        <v>5.9300000000000005E-2</v>
        <stp/>
        <stp>90007659.SZ</stp>
        <stp>Change</stp>
        <tr r="G67" s="2"/>
      </tp>
      <tp>
        <v>7.1400000000000005E-2</v>
        <stp/>
        <stp>90007699.SZ</stp>
        <stp>Change</stp>
        <tr r="G22" s="2"/>
      </tp>
      <tp>
        <v>0.35320000000000001</v>
        <stp/>
        <stp>90007565.SZ</stp>
        <stp>LastPrice</stp>
        <tr r="C5" s="2"/>
      </tp>
      <tp>
        <v>0.27030000000000004</v>
        <stp/>
        <stp>90007566.SZ</stp>
        <stp>LastPrice</stp>
        <tr r="C6" s="2"/>
      </tp>
      <tp>
        <v>0.19940000000000002</v>
        <stp/>
        <stp>90007567.SZ</stp>
        <stp>LastPrice</stp>
        <tr r="C7" s="2"/>
      </tp>
      <tp>
        <v>0.28539999999999999</v>
        <stp/>
        <stp>90007367.SZ</stp>
        <stp>LastPrice</stp>
        <tr r="C43" s="2"/>
      </tp>
      <tp>
        <v>0.14080000000000001</v>
        <stp/>
        <stp>90007568.SZ</stp>
        <stp>LastPrice</stp>
        <tr r="C8" s="2"/>
      </tp>
      <tp>
        <v>0.29870000000000002</v>
        <stp/>
        <stp>90007368.SZ</stp>
        <stp>LastPrice</stp>
        <tr r="C110" s="2"/>
      </tp>
      <tp>
        <v>9.6600000000000005E-2</v>
        <stp/>
        <stp>90007569.SZ</stp>
        <stp>LastPrice</stp>
        <tr r="C9" s="2"/>
      </tp>
      <tp>
        <v>0.94530000000000003</v>
        <stp/>
        <stp>90007069.SZ</stp>
        <stp>LastPrice</stp>
        <tr r="C32" s="2"/>
      </tp>
    </main>
    <main first="wdf.rtq">
      <tp>
        <v>10551</v>
        <stp/>
        <stp>90007699.SZ</stp>
        <stp>Volume</stp>
        <tr r="I22" s="2"/>
      </tp>
      <tp>
        <v>468</v>
        <stp/>
        <stp>90007659.SZ</stp>
        <stp>Volume</stp>
        <tr r="I67" s="2"/>
      </tp>
      <tp>
        <v>578</v>
        <stp/>
        <stp>90007649.SZ</stp>
        <stp>Volume</stp>
        <tr r="I66" s="2"/>
      </tp>
      <tp>
        <v>617</v>
        <stp/>
        <stp>90007629.SZ</stp>
        <stp>Volume</stp>
        <tr r="I2" s="2"/>
      </tp>
      <tp>
        <v>3801</v>
        <stp/>
        <stp>90007709.SZ</stp>
        <stp>Volume</stp>
        <tr r="I90" s="2"/>
      </tp>
      <tp>
        <v>258</v>
        <stp/>
        <stp>90007419.SZ</stp>
        <stp>Volume</stp>
        <tr r="I62" s="2"/>
      </tp>
      <tp>
        <v>22258</v>
        <stp/>
        <stp>90007579.SZ</stp>
        <stp>Volume</stp>
        <tr r="I77" s="2"/>
      </tp>
      <tp>
        <v>193630</v>
        <stp/>
        <stp>90007569.SZ</stp>
        <stp>Volume</stp>
        <tr r="I9" s="2"/>
      </tp>
      <tp>
        <v>1083</v>
        <stp/>
        <stp>90007529.SZ</stp>
        <stp>Volume</stp>
        <tr r="I64" s="2"/>
      </tp>
      <tp>
        <v>2743</v>
        <stp/>
        <stp>90007079.SZ</stp>
        <stp>Volume</stp>
        <tr r="I100" s="2"/>
      </tp>
      <tp>
        <v>15</v>
        <stp/>
        <stp>90007069.SZ</stp>
        <stp>Volume</stp>
        <tr r="I32" s="2"/>
      </tp>
      <tp>
        <v>15874</v>
        <stp/>
        <stp>90007698.SZ</stp>
        <stp>Volume</stp>
        <tr r="I21" s="2"/>
      </tp>
      <tp>
        <v>4</v>
        <stp/>
        <stp>90007658.SZ</stp>
        <stp>Volume</stp>
        <tr r="I117" s="2"/>
      </tp>
      <tp>
        <v>23</v>
        <stp/>
        <stp>90007648.SZ</stp>
        <stp>Volume</stp>
        <tr r="I116" s="2"/>
      </tp>
      <tp>
        <v>17821</v>
        <stp/>
        <stp>90007758.SZ</stp>
        <stp>Volume</stp>
        <tr r="I86" s="2"/>
      </tp>
      <tp>
        <v>5608</v>
        <stp/>
        <stp>90007708.SZ</stp>
        <stp>Volume</stp>
        <tr r="I89" s="2"/>
      </tp>
      <tp>
        <v>111</v>
        <stp/>
        <stp>90007428.SZ</stp>
        <stp>Volume</stp>
        <tr r="I129" s="2"/>
      </tp>
      <tp>
        <v>455</v>
        <stp/>
        <stp>90007418.SZ</stp>
        <stp>Volume</stp>
        <tr r="I61" s="2"/>
      </tp>
      <tp>
        <v>48084</v>
        <stp/>
        <stp>90007578.SZ</stp>
        <stp>Volume</stp>
        <tr r="I76" s="2"/>
      </tp>
      <tp>
        <v>233469</v>
        <stp/>
        <stp>90007568.SZ</stp>
        <stp>Volume</stp>
        <tr r="I8" s="2"/>
      </tp>
      <tp>
        <v>42</v>
        <stp/>
        <stp>90007528.SZ</stp>
        <stp>Volume</stp>
        <tr r="I114" s="2"/>
      </tp>
      <tp>
        <v>930</v>
        <stp/>
        <stp>90007388.SZ</stp>
        <stp>Volume</stp>
        <tr r="I111" s="2"/>
      </tp>
      <tp>
        <v>2892</v>
        <stp/>
        <stp>90007368.SZ</stp>
        <stp>Volume</stp>
        <tr r="I110" s="2"/>
      </tp>
      <tp>
        <v>2299</v>
        <stp/>
        <stp>90007078.SZ</stp>
        <stp>Volume</stp>
        <tr r="I99" s="2"/>
      </tp>
      <tp>
        <v>11705</v>
        <stp/>
        <stp>90007138.SZ</stp>
        <stp>Volume</stp>
        <tr r="I98" s="2"/>
      </tp>
    </main>
    <main first="wdf.rtq">
      <tp>
        <v>1355</v>
        <stp/>
        <stp>90007675.SZ</stp>
        <stp>Volume</stp>
        <tr r="I68" s="2"/>
      </tp>
      <tp>
        <v>34384</v>
        <stp/>
        <stp>90007655.SZ</stp>
        <stp>Volume</stp>
        <tr r="I15" s="2"/>
      </tp>
      <tp>
        <v>33258</v>
        <stp/>
        <stp>90007645.SZ</stp>
        <stp>Volume</stp>
        <tr r="I14" s="2"/>
      </tp>
      <tp>
        <v>14971</v>
        <stp/>
        <stp>90007775.SZ</stp>
        <stp>Volume</stp>
        <tr r="I84" s="2"/>
      </tp>
      <tp>
        <v>8847</v>
        <stp/>
        <stp>90007705.SZ</stp>
        <stp>Volume</stp>
        <tr r="I28" s="2"/>
      </tp>
      <tp>
        <v>71</v>
        <stp/>
        <stp>90007485.SZ</stp>
        <stp>Volume</stp>
        <tr r="I52" s="2"/>
      </tp>
      <tp>
        <v>3315</v>
        <stp/>
        <stp>90007475.SZ</stp>
        <stp>Volume</stp>
        <tr r="I45" s="2"/>
      </tp>
      <tp>
        <v>634</v>
        <stp/>
        <stp>90007425.SZ</stp>
        <stp>Volume</stp>
        <tr r="I126" s="2"/>
      </tp>
      <tp>
        <v>304</v>
        <stp/>
        <stp>90007415.SZ</stp>
        <stp>Volume</stp>
        <tr r="I58" s="2"/>
      </tp>
      <tp>
        <v>170707</v>
        <stp/>
        <stp>90007575.SZ</stp>
        <stp>Volume</stp>
        <tr r="I73" s="2"/>
      </tp>
      <tp>
        <v>25922</v>
        <stp/>
        <stp>90007565.SZ</stp>
        <stp>Volume</stp>
        <tr r="I5" s="2"/>
      </tp>
      <tp>
        <v>1477</v>
        <stp/>
        <stp>90007545.SZ</stp>
        <stp>Volume</stp>
        <tr r="I65" s="2"/>
      </tp>
      <tp>
        <v>415</v>
        <stp/>
        <stp>90007505.SZ</stp>
        <stp>Volume</stp>
        <tr r="I63" s="2"/>
      </tp>
      <tp>
        <v>3784</v>
        <stp/>
        <stp>90007085.SZ</stp>
        <stp>Volume</stp>
        <tr r="I106" s="2"/>
      </tp>
      <tp>
        <v>142</v>
        <stp/>
        <stp>90007075.SZ</stp>
        <stp>Volume</stp>
        <tr r="I38" s="2"/>
      </tp>
      <tp>
        <v>184</v>
        <stp/>
        <stp>90007674.SZ</stp>
        <stp>Volume</stp>
        <tr r="I118" s="2"/>
      </tp>
      <tp>
        <v>1754</v>
        <stp/>
        <stp>90007774.SZ</stp>
        <stp>Volume</stp>
        <tr r="I18" s="2"/>
      </tp>
      <tp>
        <v>420</v>
        <stp/>
        <stp>90007754.SZ</stp>
        <stp>Volume</stp>
        <tr r="I96" s="2"/>
      </tp>
      <tp>
        <v>102</v>
        <stp/>
        <stp>90007714.SZ</stp>
        <stp>Volume</stp>
        <tr r="I95" s="2"/>
      </tp>
      <tp>
        <v>6000</v>
        <stp/>
        <stp>90007704.SZ</stp>
        <stp>Volume</stp>
        <tr r="I27" s="2"/>
      </tp>
      <tp>
        <v>866</v>
        <stp/>
        <stp>90007424.SZ</stp>
        <stp>Volume</stp>
        <tr r="I125" s="2"/>
      </tp>
      <tp>
        <v>224</v>
        <stp/>
        <stp>90007414.SZ</stp>
        <stp>Volume</stp>
        <tr r="I57" s="2"/>
      </tp>
      <tp>
        <v>124015</v>
        <stp/>
        <stp>90007574.SZ</stp>
        <stp>Volume</stp>
        <tr r="I72" s="2"/>
      </tp>
      <tp>
        <v>45</v>
        <stp/>
        <stp>90007544.SZ</stp>
        <stp>Volume</stp>
        <tr r="I115" s="2"/>
      </tp>
      <tp>
        <v>176</v>
        <stp/>
        <stp>90007504.SZ</stp>
        <stp>Volume</stp>
        <tr r="I113" s="2"/>
      </tp>
      <tp>
        <v>4132</v>
        <stp/>
        <stp>90007344.SZ</stp>
        <stp>Volume</stp>
        <tr r="I108" s="2"/>
      </tp>
      <tp>
        <v>77913</v>
        <stp/>
        <stp>90007324.SZ</stp>
        <stp>Volume</stp>
        <tr r="I97" s="2"/>
      </tp>
      <tp>
        <v>3625</v>
        <stp/>
        <stp>90007084.SZ</stp>
        <stp>Volume</stp>
        <tr r="I105" s="2"/>
      </tp>
      <tp>
        <v>408</v>
        <stp/>
        <stp>90007074.SZ</stp>
        <stp>Volume</stp>
        <tr r="I37" s="2"/>
      </tp>
      <tp>
        <v>14076</v>
        <stp/>
        <stp>90007697.SZ</stp>
        <stp>Volume</stp>
        <tr r="I20" s="2"/>
      </tp>
      <tp>
        <v>4949</v>
        <stp/>
        <stp>90007657.SZ</stp>
        <stp>Volume</stp>
        <tr r="I50" s="2"/>
      </tp>
      <tp>
        <v>2140</v>
        <stp/>
        <stp>90007647.SZ</stp>
        <stp>Volume</stp>
        <tr r="I49" s="2"/>
      </tp>
      <tp>
        <v>12506</v>
        <stp/>
        <stp>90007757.SZ</stp>
        <stp>Volume</stp>
        <tr r="I19" s="2"/>
      </tp>
      <tp>
        <v>6960</v>
        <stp/>
        <stp>90007707.SZ</stp>
        <stp>Volume</stp>
        <tr r="I88" s="2"/>
      </tp>
      <tp>
        <v>142</v>
        <stp/>
        <stp>90007427.SZ</stp>
        <stp>Volume</stp>
        <tr r="I128" s="2"/>
      </tp>
      <tp>
        <v>676</v>
        <stp/>
        <stp>90007417.SZ</stp>
        <stp>Volume</stp>
        <tr r="I60" s="2"/>
      </tp>
      <tp>
        <v>116253</v>
        <stp/>
        <stp>90007577.SZ</stp>
        <stp>Volume</stp>
        <tr r="I75" s="2"/>
      </tp>
      <tp>
        <v>202357</v>
        <stp/>
        <stp>90007567.SZ</stp>
        <stp>Volume</stp>
        <tr r="I7" s="2"/>
      </tp>
      <tp>
        <v>2907</v>
        <stp/>
        <stp>90007527.SZ</stp>
        <stp>Volume</stp>
        <tr r="I47" s="2"/>
      </tp>
      <tp>
        <v>5761</v>
        <stp/>
        <stp>90007387.SZ</stp>
        <stp>Volume</stp>
        <tr r="I44" s="2"/>
      </tp>
      <tp>
        <v>5765</v>
        <stp/>
        <stp>90007367.SZ</stp>
        <stp>Volume</stp>
        <tr r="I43" s="2"/>
      </tp>
      <tp>
        <v>778</v>
        <stp/>
        <stp>90007077.SZ</stp>
        <stp>Volume</stp>
        <tr r="I40" s="2"/>
      </tp>
      <tp>
        <v>41</v>
        <stp/>
        <stp>90007137.SZ</stp>
        <stp>Volume</stp>
        <tr r="I31" s="2"/>
      </tp>
      <tp>
        <v>1</v>
        <stp/>
        <stp>90007676.SZ</stp>
        <stp>Volume</stp>
        <tr r="I135" s="2"/>
      </tp>
      <tp>
        <v>258</v>
        <stp/>
        <stp>90007656.SZ</stp>
        <stp>Volume</stp>
        <tr r="I82" s="2"/>
      </tp>
      <tp>
        <v>245</v>
        <stp/>
        <stp>90007646.SZ</stp>
        <stp>Volume</stp>
        <tr r="I81" s="2"/>
      </tp>
      <tp>
        <v>9245</v>
        <stp/>
        <stp>90007776.SZ</stp>
        <stp>Volume</stp>
        <tr r="I85" s="2"/>
      </tp>
      <tp>
        <v>12961</v>
        <stp/>
        <stp>90007706.SZ</stp>
        <stp>Volume</stp>
        <tr r="I87" s="2"/>
      </tp>
      <tp>
        <v>3199</v>
        <stp/>
        <stp>90007486.SZ</stp>
        <stp>Volume</stp>
        <tr r="I119" s="2"/>
      </tp>
      <tp>
        <v>228</v>
        <stp/>
        <stp>90007476.SZ</stp>
        <stp>Volume</stp>
        <tr r="I112" s="2"/>
      </tp>
      <tp>
        <v>543</v>
        <stp/>
        <stp>90007426.SZ</stp>
        <stp>Volume</stp>
        <tr r="I127" s="2"/>
      </tp>
      <tp>
        <v>600</v>
        <stp/>
        <stp>90007416.SZ</stp>
        <stp>Volume</stp>
        <tr r="I59" s="2"/>
      </tp>
      <tp>
        <v>198789</v>
        <stp/>
        <stp>90007576.SZ</stp>
        <stp>Volume</stp>
        <tr r="I74" s="2"/>
      </tp>
      <tp>
        <v>86327</v>
        <stp/>
        <stp>90007566.SZ</stp>
        <stp>Volume</stp>
        <tr r="I6" s="2"/>
      </tp>
      <tp>
        <v>5</v>
        <stp/>
        <stp>90007546.SZ</stp>
        <stp>Volume</stp>
        <tr r="I132" s="2"/>
      </tp>
      <tp>
        <v>28</v>
        <stp/>
        <stp>90007506.SZ</stp>
        <stp>Volume</stp>
        <tr r="I130" s="2"/>
      </tp>
      <tp>
        <v>3842</v>
        <stp/>
        <stp>90007086.SZ</stp>
        <stp>Volume</stp>
        <tr r="I107" s="2"/>
      </tp>
      <tp>
        <v>233</v>
        <stp/>
        <stp>90007076.SZ</stp>
        <stp>Volume</stp>
        <tr r="I39" s="2"/>
      </tp>
      <tp>
        <v>83353</v>
        <stp/>
        <stp>90007671.SZ</stp>
        <stp>Volume</stp>
        <tr r="I16" s="2"/>
      </tp>
      <tp>
        <v>86419</v>
        <stp/>
        <stp>90007631.SZ</stp>
        <stp>Volume</stp>
        <tr r="I69" s="2"/>
      </tp>
      <tp>
        <v>2800</v>
        <stp/>
        <stp>90007621.SZ</stp>
        <stp>Volume</stp>
        <tr r="I4" s="2"/>
      </tp>
      <tp>
        <v>1004</v>
        <stp/>
        <stp>90007711.SZ</stp>
        <stp>Volume</stp>
        <tr r="I92" s="2"/>
      </tp>
      <tp>
        <v>13345</v>
        <stp/>
        <stp>90007701.SZ</stp>
        <stp>Volume</stp>
        <tr r="I24" s="2"/>
      </tp>
      <tp>
        <v>25</v>
        <stp/>
        <stp>90007481.SZ</stp>
        <stp>Volume</stp>
        <tr r="I53" s="2"/>
      </tp>
      <tp>
        <v>292</v>
        <stp/>
        <stp>90007421.SZ</stp>
        <stp>Volume</stp>
        <tr r="I122" s="2"/>
      </tp>
      <tp>
        <v>67</v>
        <stp/>
        <stp>90007411.SZ</stp>
        <stp>Volume</stp>
        <tr r="I54" s="2"/>
      </tp>
      <tp>
        <v>2279</v>
        <stp/>
        <stp>90007581.SZ</stp>
        <stp>Volume</stp>
        <tr r="I79" s="2"/>
      </tp>
      <tp>
        <v>110165</v>
        <stp/>
        <stp>90007571.SZ</stp>
        <stp>Volume</stp>
        <tr r="I11" s="2"/>
      </tp>
      <tp>
        <v>6118</v>
        <stp/>
        <stp>90007351.SZ</stp>
        <stp>Volume</stp>
        <tr r="I42" s="2"/>
      </tp>
      <tp>
        <v>2815</v>
        <stp/>
        <stp>90007081.SZ</stp>
        <stp>Volume</stp>
        <tr r="I102" s="2"/>
      </tp>
      <tp>
        <v>163</v>
        <stp/>
        <stp>90007071.SZ</stp>
        <stp>Volume</stp>
        <tr r="I34" s="2"/>
      </tp>
      <tp>
        <v>0</v>
        <stp/>
        <stp>90007660.SZ</stp>
        <stp>Volume</stp>
        <tr r="I134" s="2"/>
      </tp>
      <tp>
        <v>6</v>
        <stp/>
        <stp>90007650.SZ</stp>
        <stp>Volume</stp>
        <tr r="I133" s="2"/>
      </tp>
      <tp>
        <v>1939</v>
        <stp/>
        <stp>90007630.SZ</stp>
        <stp>Volume</stp>
        <tr r="I3" s="2"/>
      </tp>
      <tp>
        <v>845</v>
        <stp/>
        <stp>90007710.SZ</stp>
        <stp>Volume</stp>
        <tr r="I91" s="2"/>
      </tp>
      <tp>
        <v>14060</v>
        <stp/>
        <stp>90007700.SZ</stp>
        <stp>Volume</stp>
        <tr r="I23" s="2"/>
      </tp>
      <tp>
        <v>311</v>
        <stp/>
        <stp>90007420.SZ</stp>
        <stp>Volume</stp>
        <tr r="I121" s="2"/>
      </tp>
      <tp>
        <v>12553</v>
        <stp/>
        <stp>90007580.SZ</stp>
        <stp>Volume</stp>
        <tr r="I78" s="2"/>
      </tp>
      <tp>
        <v>141147</v>
        <stp/>
        <stp>90007570.SZ</stp>
        <stp>Volume</stp>
        <tr r="I10" s="2"/>
      </tp>
      <tp>
        <v>0</v>
        <stp/>
        <stp>90007530.SZ</stp>
        <stp>Volume</stp>
        <tr r="I131" s="2"/>
      </tp>
      <tp>
        <v>3750</v>
        <stp/>
        <stp>90007080.SZ</stp>
        <stp>Volume</stp>
        <tr r="I101" s="2"/>
      </tp>
      <tp>
        <v>249</v>
        <stp/>
        <stp>90007070.SZ</stp>
        <stp>Volume</stp>
        <tr r="I33" s="2"/>
      </tp>
      <tp>
        <v>9285</v>
        <stp/>
        <stp>90007673.SZ</stp>
        <stp>Volume</stp>
        <tr r="I51" s="2"/>
      </tp>
      <tp>
        <v>312</v>
        <stp/>
        <stp>90007773.SZ</stp>
        <stp>Volume</stp>
        <tr r="I17" s="2"/>
      </tp>
      <tp>
        <v>18692</v>
        <stp/>
        <stp>90007753.SZ</stp>
        <stp>Volume</stp>
        <tr r="I29" s="2"/>
      </tp>
      <tp>
        <v>7</v>
        <stp/>
        <stp>90007713.SZ</stp>
        <stp>Volume</stp>
        <tr r="I94" s="2"/>
      </tp>
      <tp>
        <v>11691</v>
        <stp/>
        <stp>90007703.SZ</stp>
        <stp>Volume</stp>
        <tr r="I26" s="2"/>
      </tp>
      <tp>
        <v>830</v>
        <stp/>
        <stp>90007423.SZ</stp>
        <stp>Volume</stp>
        <tr r="I124" s="2"/>
      </tp>
      <tp>
        <v>171</v>
        <stp/>
        <stp>90007413.SZ</stp>
        <stp>Volume</stp>
        <tr r="I56" s="2"/>
      </tp>
      <tp>
        <v>68302</v>
        <stp/>
        <stp>90007573.SZ</stp>
        <stp>Volume</stp>
        <tr r="I13" s="2"/>
      </tp>
      <tp>
        <v>3215</v>
        <stp/>
        <stp>90007543.SZ</stp>
        <stp>Volume</stp>
        <tr r="I48" s="2"/>
      </tp>
      <tp>
        <v>4876</v>
        <stp/>
        <stp>90007503.SZ</stp>
        <stp>Volume</stp>
        <tr r="I46" s="2"/>
      </tp>
      <tp>
        <v>1019</v>
        <stp/>
        <stp>90007343.SZ</stp>
        <stp>Volume</stp>
        <tr r="I41" s="2"/>
      </tp>
      <tp>
        <v>57</v>
        <stp/>
        <stp>90007323.SZ</stp>
        <stp>Volume</stp>
        <tr r="I30" s="2"/>
      </tp>
      <tp>
        <v>3668</v>
        <stp/>
        <stp>90007083.SZ</stp>
        <stp>Volume</stp>
        <tr r="I104" s="2"/>
      </tp>
      <tp>
        <v>231</v>
        <stp/>
        <stp>90007073.SZ</stp>
        <stp>Volume</stp>
        <tr r="I36" s="2"/>
      </tp>
      <tp>
        <v>46</v>
        <stp/>
        <stp>90007672.SZ</stp>
        <stp>Volume</stp>
        <tr r="I83" s="2"/>
      </tp>
      <tp>
        <v>58158</v>
        <stp/>
        <stp>90007632.SZ</stp>
        <stp>Volume</stp>
        <tr r="I70" s="2"/>
      </tp>
      <tp>
        <v>114951</v>
        <stp/>
        <stp>90007622.SZ</stp>
        <stp>Volume</stp>
        <tr r="I71" s="2"/>
      </tp>
      <tp>
        <v>65</v>
        <stp/>
        <stp>90007712.SZ</stp>
        <stp>Volume</stp>
        <tr r="I93" s="2"/>
      </tp>
      <tp>
        <v>7768</v>
        <stp/>
        <stp>90007702.SZ</stp>
        <stp>Volume</stp>
        <tr r="I25" s="2"/>
      </tp>
      <tp>
        <v>443</v>
        <stp/>
        <stp>90007482.SZ</stp>
        <stp>Volume</stp>
        <tr r="I120" s="2"/>
      </tp>
      <tp>
        <v>593</v>
        <stp/>
        <stp>90007422.SZ</stp>
        <stp>Volume</stp>
        <tr r="I123" s="2"/>
      </tp>
      <tp>
        <v>413</v>
        <stp/>
        <stp>90007412.SZ</stp>
        <stp>Volume</stp>
        <tr r="I55" s="2"/>
      </tp>
      <tp>
        <v>626</v>
        <stp/>
        <stp>90007582.SZ</stp>
        <stp>Volume</stp>
        <tr r="I80" s="2"/>
      </tp>
      <tp>
        <v>67486</v>
        <stp/>
        <stp>90007572.SZ</stp>
        <stp>Volume</stp>
        <tr r="I12" s="2"/>
      </tp>
      <tp>
        <v>5651</v>
        <stp/>
        <stp>90007352.SZ</stp>
        <stp>Volume</stp>
        <tr r="I109" s="2"/>
      </tp>
      <tp>
        <v>2743</v>
        <stp/>
        <stp>90007082.SZ</stp>
        <stp>Volume</stp>
        <tr r="I103" s="2"/>
      </tp>
      <tp>
        <v>85</v>
        <stp/>
        <stp>90007072.SZ</stp>
        <stp>Volume</stp>
        <tr r="I35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Browse\XLA\WindFunc.xla" TargetMode="External"/><Relationship Id="rId1" Type="http://schemas.openxmlformats.org/officeDocument/2006/relationships/externalLinkPath" Target="file:///D: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margin"/>
      <definedName name="w_info_callput"/>
      <definedName name="w_info_ptmtradeday"/>
      <definedName name="w_info_strikepric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B41F-3255-4A08-AFC9-DC8B2F3885E9}">
  <dimension ref="A1:T135"/>
  <sheetViews>
    <sheetView tabSelected="1" zoomScale="115" zoomScaleNormal="115" workbookViewId="0">
      <selection activeCell="O8" sqref="O8"/>
    </sheetView>
  </sheetViews>
  <sheetFormatPr defaultRowHeight="14" x14ac:dyDescent="0.25"/>
  <cols>
    <col min="1" max="1" width="12.7265625" style="1" bestFit="1" customWidth="1"/>
    <col min="2" max="2" width="12.7265625" style="1" customWidth="1"/>
    <col min="3" max="18" width="8.7265625" style="1"/>
    <col min="19" max="19" width="12.7265625" style="1" bestFit="1" customWidth="1"/>
    <col min="20" max="16384" width="8.7265625" style="1"/>
  </cols>
  <sheetData>
    <row r="1" spans="1:20" x14ac:dyDescent="0.25">
      <c r="A1" s="5" t="s">
        <v>30</v>
      </c>
      <c r="B1" s="5" t="s">
        <v>153</v>
      </c>
      <c r="C1" s="5" t="s">
        <v>29</v>
      </c>
      <c r="D1" s="5" t="s">
        <v>28</v>
      </c>
      <c r="E1" s="5" t="s">
        <v>27</v>
      </c>
      <c r="F1" s="5" t="s">
        <v>26</v>
      </c>
      <c r="G1" s="5" t="s">
        <v>25</v>
      </c>
      <c r="H1" s="5" t="s">
        <v>24</v>
      </c>
      <c r="I1" s="5" t="s">
        <v>23</v>
      </c>
      <c r="J1" s="5" t="s">
        <v>22</v>
      </c>
      <c r="K1" s="5" t="s">
        <v>21</v>
      </c>
      <c r="L1" s="5" t="s">
        <v>20</v>
      </c>
      <c r="M1" s="5" t="s">
        <v>19</v>
      </c>
      <c r="N1" s="5" t="s">
        <v>18</v>
      </c>
      <c r="O1" s="5" t="s">
        <v>17</v>
      </c>
      <c r="P1" s="5" t="s">
        <v>16</v>
      </c>
      <c r="Q1" s="4" t="s">
        <v>15</v>
      </c>
      <c r="R1" s="1" t="s">
        <v>31</v>
      </c>
      <c r="S1" s="1" t="s">
        <v>151</v>
      </c>
      <c r="T1" s="1" t="s">
        <v>152</v>
      </c>
    </row>
    <row r="2" spans="1:20" x14ac:dyDescent="0.25">
      <c r="A2" s="6" t="s">
        <v>14</v>
      </c>
      <c r="B2" s="9">
        <f>[1]!w_info_strikeprice(A2,"")</f>
        <v>3.4</v>
      </c>
      <c r="C2" s="2">
        <f>RTD("wdf.rtq",,A2,"LastPrice")</f>
        <v>0.63360000000000005</v>
      </c>
      <c r="D2" s="2">
        <f>AVERAGE(E2:F2)</f>
        <v>0.63495000000000013</v>
      </c>
      <c r="E2" s="2">
        <f>RTD("wdf.rtq",,A2,"Bid_Price1")</f>
        <v>0.62750000000000006</v>
      </c>
      <c r="F2" s="2">
        <f>RTD("wdf.rtq",,A2,"Ask_Price1")</f>
        <v>0.64240000000000008</v>
      </c>
      <c r="G2" s="2">
        <f>RTD("wdf.rtq",,A2,"Change")</f>
        <v>0.1623</v>
      </c>
      <c r="H2" s="2">
        <f>RTD("wdf.rtq",,A2,"PctChg")</f>
        <v>34.440000000000005</v>
      </c>
      <c r="I2" s="2">
        <f>RTD("wdf.rtq",,A2,"Volume")</f>
        <v>617</v>
      </c>
      <c r="J2" s="2">
        <f>RTD("wdf.rtq",,A2, "rt_oi","RT_Price")</f>
        <v>1119</v>
      </c>
      <c r="K2" s="2">
        <f>RTD("wdf.rtq",,A2,"ImpliedVol")</f>
        <v>0.36530000000000001</v>
      </c>
      <c r="L2" s="2">
        <f>RTD("wdf.rtq",,A2, "rt_miv","RT_Price")</f>
        <v>0.42410000000000003</v>
      </c>
      <c r="M2" s="2">
        <f>RTD("wdf.rtq",,A2,"Delta")</f>
        <v>0.99260000000000004</v>
      </c>
      <c r="N2" s="2">
        <f ca="1">RTD("wdf.rtq",,$A2,N$2)</f>
        <v>6.8500000000000005E-2</v>
      </c>
      <c r="O2" s="2">
        <f ca="1">RTD("wdf.rtq",,$A2,O$2)</f>
        <v>2.0000000000000001E-4</v>
      </c>
      <c r="P2" s="2">
        <f ca="1">RTD("wdf.rtq",,$A2,P$2)</f>
        <v>-3.0000000000000003E-4</v>
      </c>
      <c r="Q2" s="3">
        <f>[1]!w_info_ptmtradeday(A2,"")</f>
        <v>10</v>
      </c>
      <c r="R2" s="1" t="str">
        <f>[1]!w_info_callput(A2)</f>
        <v>认购</v>
      </c>
      <c r="S2" s="7">
        <f>[1]!s_info_margin(A2)</f>
        <v>9353.4</v>
      </c>
      <c r="T2" s="8">
        <f>RTD("wdf.rtq",,"159915.SZ","LastPrice")</f>
        <v>4.04</v>
      </c>
    </row>
    <row r="3" spans="1:20" x14ac:dyDescent="0.25">
      <c r="A3" s="6" t="s">
        <v>13</v>
      </c>
      <c r="B3" s="9">
        <f>[1]!w_info_strikeprice(A3,"")</f>
        <v>3.5</v>
      </c>
      <c r="C3" s="2">
        <f>RTD("wdf.rtq",,A3,"LastPrice")</f>
        <v>0.53600000000000003</v>
      </c>
      <c r="D3" s="2">
        <f t="shared" ref="D3:D66" si="0">AVERAGE(E3:F3)</f>
        <v>0.54220000000000002</v>
      </c>
      <c r="E3" s="2">
        <f>RTD("wdf.rtq",,A3,"Bid_Price1")</f>
        <v>0.54</v>
      </c>
      <c r="F3" s="2">
        <f>RTD("wdf.rtq",,A3,"Ask_Price1")</f>
        <v>0.5444</v>
      </c>
      <c r="G3" s="2">
        <f>RTD("wdf.rtq",,A3,"Change")</f>
        <v>0.16320000000000001</v>
      </c>
      <c r="H3" s="2">
        <f>RTD("wdf.rtq",,A3,"PctChg")</f>
        <v>43.78</v>
      </c>
      <c r="I3" s="2">
        <f>RTD("wdf.rtq",,A3,"Volume")</f>
        <v>1939</v>
      </c>
      <c r="J3" s="2">
        <f>RTD("wdf.rtq",,A3, "rt_oi","RT_Price")</f>
        <v>1736</v>
      </c>
      <c r="K3" s="2">
        <f>RTD("wdf.rtq",,A3,"ImpliedVol")</f>
        <v>0.40050000000000002</v>
      </c>
      <c r="L3" s="2">
        <f>RTD("wdf.rtq",,A3, "rt_miv","RT_Price")</f>
        <v>0.4773</v>
      </c>
      <c r="M3" s="2">
        <f>RTD("wdf.rtq",,A3,"Delta")</f>
        <v>0.96890000000000009</v>
      </c>
      <c r="N3" s="2">
        <f ca="1">RTD("wdf.rtq",,$A3,N$2)</f>
        <v>6.8500000000000005E-2</v>
      </c>
      <c r="O3" s="2">
        <f ca="1">RTD("wdf.rtq",,$A3,O$2)</f>
        <v>2.0000000000000001E-4</v>
      </c>
      <c r="P3" s="2">
        <f ca="1">RTD("wdf.rtq",,$A3,P$2)</f>
        <v>-3.0000000000000003E-4</v>
      </c>
      <c r="Q3" s="3">
        <f>[1]!w_info_ptmtradeday(A3,"")</f>
        <v>10</v>
      </c>
      <c r="R3" s="1" t="str">
        <f>[1]!w_info_callput(A3)</f>
        <v>认购</v>
      </c>
      <c r="S3" s="7">
        <f>[1]!s_info_margin(A3)</f>
        <v>8368.4</v>
      </c>
    </row>
    <row r="4" spans="1:20" x14ac:dyDescent="0.25">
      <c r="A4" s="6" t="s">
        <v>12</v>
      </c>
      <c r="B4" s="9">
        <f>[1]!w_info_strikeprice(A4,"")</f>
        <v>3.6</v>
      </c>
      <c r="C4" s="2">
        <f>RTD("wdf.rtq",,A4,"LastPrice")</f>
        <v>0.44270000000000004</v>
      </c>
      <c r="D4" s="2">
        <f t="shared" si="0"/>
        <v>0.44345000000000001</v>
      </c>
      <c r="E4" s="2">
        <f>RTD("wdf.rtq",,A4,"Bid_Price1")</f>
        <v>0.43740000000000001</v>
      </c>
      <c r="F4" s="2">
        <f>RTD("wdf.rtq",,A4,"Ask_Price1")</f>
        <v>0.44950000000000001</v>
      </c>
      <c r="G4" s="2">
        <f>RTD("wdf.rtq",,A4,"Change")</f>
        <v>0.1515</v>
      </c>
      <c r="H4" s="2">
        <f>RTD("wdf.rtq",,A4,"PctChg")</f>
        <v>52.03</v>
      </c>
      <c r="I4" s="2">
        <f>RTD("wdf.rtq",,A4,"Volume")</f>
        <v>2800</v>
      </c>
      <c r="J4" s="2">
        <f>RTD("wdf.rtq",,A4, "rt_oi","RT_Price")</f>
        <v>2135</v>
      </c>
      <c r="K4" s="2">
        <f>RTD("wdf.rtq",,A4,"ImpliedVol")</f>
        <v>0.41100000000000003</v>
      </c>
      <c r="L4" s="2">
        <f>RTD("wdf.rtq",,A4, "rt_miv","RT_Price")</f>
        <v>0.41250000000000003</v>
      </c>
      <c r="M4" s="2">
        <f>RTD("wdf.rtq",,A4,"Delta")</f>
        <v>0.92930000000000001</v>
      </c>
      <c r="N4" s="2">
        <f ca="1">RTD("wdf.rtq",,$A4,N$2)</f>
        <v>6.8500000000000005E-2</v>
      </c>
      <c r="O4" s="2">
        <f ca="1">RTD("wdf.rtq",,$A4,O$2)</f>
        <v>2.0000000000000001E-4</v>
      </c>
      <c r="P4" s="2">
        <f ca="1">RTD("wdf.rtq",,$A4,P$2)</f>
        <v>-3.0000000000000003E-4</v>
      </c>
      <c r="Q4" s="3">
        <f>[1]!w_info_ptmtradeday(A4,"")</f>
        <v>10</v>
      </c>
      <c r="R4" s="1" t="str">
        <f>[1]!w_info_callput(A4)</f>
        <v>认购</v>
      </c>
      <c r="S4" s="7">
        <f>[1]!s_info_margin(A4)</f>
        <v>7552.4</v>
      </c>
    </row>
    <row r="5" spans="1:20" x14ac:dyDescent="0.25">
      <c r="A5" s="6" t="s">
        <v>11</v>
      </c>
      <c r="B5" s="9">
        <f>[1]!w_info_strikeprice(A5,"")</f>
        <v>3.7</v>
      </c>
      <c r="C5" s="2">
        <f>RTD("wdf.rtq",,A5,"LastPrice")</f>
        <v>0.35320000000000001</v>
      </c>
      <c r="D5" s="2">
        <f t="shared" si="0"/>
        <v>0.35260000000000002</v>
      </c>
      <c r="E5" s="2">
        <f>RTD("wdf.rtq",,A5,"Bid_Price1")</f>
        <v>0.34900000000000003</v>
      </c>
      <c r="F5" s="2">
        <f>RTD("wdf.rtq",,A5,"Ask_Price1")</f>
        <v>0.35620000000000002</v>
      </c>
      <c r="G5" s="2">
        <f>RTD("wdf.rtq",,A5,"Change")</f>
        <v>0.1363</v>
      </c>
      <c r="H5" s="2">
        <f>RTD("wdf.rtq",,A5,"PctChg")</f>
        <v>62.84</v>
      </c>
      <c r="I5" s="2">
        <f>RTD("wdf.rtq",,A5,"Volume")</f>
        <v>25922</v>
      </c>
      <c r="J5" s="2">
        <f>RTD("wdf.rtq",,A5, "rt_oi","RT_Price")</f>
        <v>8696</v>
      </c>
      <c r="K5" s="2">
        <f>RTD("wdf.rtq",,A5,"ImpliedVol")</f>
        <v>0.4007</v>
      </c>
      <c r="L5" s="2">
        <f>RTD("wdf.rtq",,A5, "rt_miv","RT_Price")</f>
        <v>0.39890000000000003</v>
      </c>
      <c r="M5" s="2">
        <f>RTD("wdf.rtq",,A5,"Delta")</f>
        <v>0.875</v>
      </c>
      <c r="N5" s="2">
        <f ca="1">RTD("wdf.rtq",,$A5,N$2)</f>
        <v>6.8500000000000005E-2</v>
      </c>
      <c r="O5" s="2">
        <f ca="1">RTD("wdf.rtq",,$A5,O$2)</f>
        <v>2.0000000000000001E-4</v>
      </c>
      <c r="P5" s="2">
        <f ca="1">RTD("wdf.rtq",,$A5,P$2)</f>
        <v>-3.0000000000000003E-4</v>
      </c>
      <c r="Q5" s="3">
        <f>[1]!w_info_ptmtradeday(A5,"")</f>
        <v>10</v>
      </c>
      <c r="R5" s="1" t="str">
        <f>[1]!w_info_callput(A5)</f>
        <v>认购</v>
      </c>
      <c r="S5" s="7">
        <f>[1]!s_info_margin(A5)</f>
        <v>6809.4</v>
      </c>
    </row>
    <row r="6" spans="1:20" x14ac:dyDescent="0.25">
      <c r="A6" s="6" t="s">
        <v>10</v>
      </c>
      <c r="B6" s="9">
        <f>[1]!w_info_strikeprice(A6,"")</f>
        <v>3.8</v>
      </c>
      <c r="C6" s="2">
        <f>RTD("wdf.rtq",,A6,"LastPrice")</f>
        <v>0.27030000000000004</v>
      </c>
      <c r="D6" s="2">
        <f t="shared" si="0"/>
        <v>0.26890000000000003</v>
      </c>
      <c r="E6" s="2">
        <f>RTD("wdf.rtq",,A6,"Bid_Price1")</f>
        <v>0.26750000000000002</v>
      </c>
      <c r="F6" s="2">
        <f>RTD("wdf.rtq",,A6,"Ask_Price1")</f>
        <v>0.27030000000000004</v>
      </c>
      <c r="G6" s="2">
        <f>RTD("wdf.rtq",,A6,"Change")</f>
        <v>0.11720000000000001</v>
      </c>
      <c r="H6" s="2">
        <f>RTD("wdf.rtq",,A6,"PctChg")</f>
        <v>76.550000000000011</v>
      </c>
      <c r="I6" s="2">
        <f>RTD("wdf.rtq",,A6,"Volume")</f>
        <v>86327</v>
      </c>
      <c r="J6" s="2">
        <f>RTD("wdf.rtq",,A6, "rt_oi","RT_Price")</f>
        <v>20949</v>
      </c>
      <c r="K6" s="2">
        <f>RTD("wdf.rtq",,A6,"ImpliedVol")</f>
        <v>0.39490000000000003</v>
      </c>
      <c r="L6" s="2">
        <f>RTD("wdf.rtq",,A6, "rt_miv","RT_Price")</f>
        <v>0.38970000000000005</v>
      </c>
      <c r="M6" s="2">
        <f>RTD("wdf.rtq",,A6,"Delta")</f>
        <v>0.79390000000000005</v>
      </c>
      <c r="N6" s="2">
        <f ca="1">RTD("wdf.rtq",,$A6,N$2)</f>
        <v>6.8500000000000005E-2</v>
      </c>
      <c r="O6" s="2">
        <f ca="1">RTD("wdf.rtq",,$A6,O$2)</f>
        <v>2.0000000000000001E-4</v>
      </c>
      <c r="P6" s="2">
        <f ca="1">RTD("wdf.rtq",,$A6,P$2)</f>
        <v>-3.0000000000000003E-4</v>
      </c>
      <c r="Q6" s="3">
        <f>[1]!w_info_ptmtradeday(A6,"")</f>
        <v>10</v>
      </c>
      <c r="R6" s="1" t="str">
        <f>[1]!w_info_callput(A6)</f>
        <v>认购</v>
      </c>
      <c r="S6" s="7">
        <f>[1]!s_info_margin(A6)</f>
        <v>6171.4</v>
      </c>
    </row>
    <row r="7" spans="1:20" x14ac:dyDescent="0.25">
      <c r="A7" s="6" t="s">
        <v>9</v>
      </c>
      <c r="B7" s="9">
        <f>[1]!w_info_strikeprice(A7,"")</f>
        <v>3.9</v>
      </c>
      <c r="C7" s="2">
        <f>RTD("wdf.rtq",,A7,"LastPrice")</f>
        <v>0.19940000000000002</v>
      </c>
      <c r="D7" s="2">
        <f t="shared" si="0"/>
        <v>0.19925000000000001</v>
      </c>
      <c r="E7" s="2">
        <f>RTD("wdf.rtq",,A7,"Bid_Price1")</f>
        <v>0.1991</v>
      </c>
      <c r="F7" s="2">
        <f>RTD("wdf.rtq",,A7,"Ask_Price1")</f>
        <v>0.19940000000000002</v>
      </c>
      <c r="G7" s="2">
        <f>RTD("wdf.rtq",,A7,"Change")</f>
        <v>9.6200000000000008E-2</v>
      </c>
      <c r="H7" s="2">
        <f>RTD("wdf.rtq",,A7,"PctChg")</f>
        <v>93.22</v>
      </c>
      <c r="I7" s="2">
        <f>RTD("wdf.rtq",,A7,"Volume")</f>
        <v>202357</v>
      </c>
      <c r="J7" s="2">
        <f>RTD("wdf.rtq",,A7, "rt_oi","RT_Price")</f>
        <v>42962</v>
      </c>
      <c r="K7" s="2">
        <f>RTD("wdf.rtq",,A7,"ImpliedVol")</f>
        <v>0.39730000000000004</v>
      </c>
      <c r="L7" s="2">
        <f>RTD("wdf.rtq",,A7, "rt_miv","RT_Price")</f>
        <v>0.39750000000000002</v>
      </c>
      <c r="M7" s="2">
        <f>RTD("wdf.rtq",,A7,"Delta")</f>
        <v>0.68320000000000003</v>
      </c>
      <c r="N7" s="2">
        <f ca="1">RTD("wdf.rtq",,$A7,N$2)</f>
        <v>6.8500000000000005E-2</v>
      </c>
      <c r="O7" s="2">
        <f ca="1">RTD("wdf.rtq",,$A7,O$2)</f>
        <v>2.0000000000000001E-4</v>
      </c>
      <c r="P7" s="2">
        <f ca="1">RTD("wdf.rtq",,$A7,P$2)</f>
        <v>-3.0000000000000003E-4</v>
      </c>
      <c r="Q7" s="3">
        <f>[1]!w_info_ptmtradeday(A7,"")</f>
        <v>10</v>
      </c>
      <c r="R7" s="1" t="str">
        <f>[1]!w_info_callput(A7)</f>
        <v>认购</v>
      </c>
      <c r="S7" s="7">
        <f>[1]!s_info_margin(A7)</f>
        <v>5342.4</v>
      </c>
    </row>
    <row r="8" spans="1:20" x14ac:dyDescent="0.25">
      <c r="A8" s="6" t="s">
        <v>8</v>
      </c>
      <c r="B8" s="9">
        <f>[1]!w_info_strikeprice(A8,"")</f>
        <v>4</v>
      </c>
      <c r="C8" s="2">
        <f>RTD("wdf.rtq",,A8,"LastPrice")</f>
        <v>0.14080000000000001</v>
      </c>
      <c r="D8" s="2">
        <f t="shared" si="0"/>
        <v>0.14075000000000001</v>
      </c>
      <c r="E8" s="2">
        <f>RTD("wdf.rtq",,A8,"Bid_Price1")</f>
        <v>0.14070000000000002</v>
      </c>
      <c r="F8" s="2">
        <f>RTD("wdf.rtq",,A8,"Ask_Price1")</f>
        <v>0.14080000000000001</v>
      </c>
      <c r="G8" s="2">
        <f>RTD("wdf.rtq",,A8,"Change")</f>
        <v>7.3599999999999999E-2</v>
      </c>
      <c r="H8" s="2">
        <f>RTD("wdf.rtq",,A8,"PctChg")</f>
        <v>109.52</v>
      </c>
      <c r="I8" s="2">
        <f>RTD("wdf.rtq",,A8,"Volume")</f>
        <v>233469</v>
      </c>
      <c r="J8" s="2">
        <f>RTD("wdf.rtq",,A8, "rt_oi","RT_Price")</f>
        <v>68333</v>
      </c>
      <c r="K8" s="2">
        <f>RTD("wdf.rtq",,A8,"ImpliedVol")</f>
        <v>0.39940000000000003</v>
      </c>
      <c r="L8" s="2">
        <f>RTD("wdf.rtq",,A8, "rt_miv","RT_Price")</f>
        <v>0.39980000000000004</v>
      </c>
      <c r="M8" s="2">
        <f>RTD("wdf.rtq",,A8,"Delta")</f>
        <v>0.55810000000000004</v>
      </c>
      <c r="N8" s="2">
        <f ca="1">RTD("wdf.rtq",,$A8,N$2)</f>
        <v>6.8500000000000005E-2</v>
      </c>
      <c r="O8" s="2">
        <f ca="1">RTD("wdf.rtq",,$A8,O$2)</f>
        <v>2.0000000000000001E-4</v>
      </c>
      <c r="P8" s="2">
        <f ca="1">RTD("wdf.rtq",,$A8,P$2)</f>
        <v>-3.0000000000000003E-4</v>
      </c>
      <c r="Q8" s="3">
        <f>[1]!w_info_ptmtradeday(A8,"")</f>
        <v>10</v>
      </c>
      <c r="R8" s="1" t="str">
        <f>[1]!w_info_callput(A8)</f>
        <v>认购</v>
      </c>
      <c r="S8" s="7">
        <f>[1]!s_info_margin(A8)</f>
        <v>3982.4</v>
      </c>
    </row>
    <row r="9" spans="1:20" x14ac:dyDescent="0.25">
      <c r="A9" s="6" t="s">
        <v>7</v>
      </c>
      <c r="B9" s="9">
        <f>[1]!w_info_strikeprice(A9,"")</f>
        <v>4.0999999999999996</v>
      </c>
      <c r="C9" s="2">
        <f>RTD("wdf.rtq",,A9,"LastPrice")</f>
        <v>9.6600000000000005E-2</v>
      </c>
      <c r="D9" s="2">
        <f t="shared" si="0"/>
        <v>9.6700000000000008E-2</v>
      </c>
      <c r="E9" s="2">
        <f>RTD("wdf.rtq",,A9,"Bid_Price1")</f>
        <v>9.6600000000000005E-2</v>
      </c>
      <c r="F9" s="2">
        <f>RTD("wdf.rtq",,A9,"Ask_Price1")</f>
        <v>9.6800000000000011E-2</v>
      </c>
      <c r="G9" s="2">
        <f>RTD("wdf.rtq",,A9,"Change")</f>
        <v>5.3000000000000005E-2</v>
      </c>
      <c r="H9" s="2">
        <f>RTD("wdf.rtq",,A9,"PctChg")</f>
        <v>121.56</v>
      </c>
      <c r="I9" s="2">
        <f>RTD("wdf.rtq",,A9,"Volume")</f>
        <v>193630</v>
      </c>
      <c r="J9" s="2">
        <f>RTD("wdf.rtq",,A9, "rt_oi","RT_Price")</f>
        <v>73099</v>
      </c>
      <c r="K9" s="2">
        <f>RTD("wdf.rtq",,A9,"ImpliedVol")</f>
        <v>0.40650000000000003</v>
      </c>
      <c r="L9" s="2">
        <f>RTD("wdf.rtq",,A9, "rt_miv","RT_Price")</f>
        <v>0.40720000000000001</v>
      </c>
      <c r="M9" s="2">
        <f>RTD("wdf.rtq",,A9,"Delta")</f>
        <v>0.4325</v>
      </c>
      <c r="N9" s="2">
        <f ca="1">RTD("wdf.rtq",,$A9,N$2)</f>
        <v>6.8500000000000005E-2</v>
      </c>
      <c r="O9" s="2">
        <f ca="1">RTD("wdf.rtq",,$A9,O$2)</f>
        <v>2.0000000000000001E-4</v>
      </c>
      <c r="P9" s="2">
        <f ca="1">RTD("wdf.rtq",,$A9,P$2)</f>
        <v>-3.0000000000000003E-4</v>
      </c>
      <c r="Q9" s="3">
        <f>[1]!w_info_ptmtradeday(A9,"")</f>
        <v>10</v>
      </c>
      <c r="R9" s="1" t="str">
        <f>[1]!w_info_callput(A9)</f>
        <v>认购</v>
      </c>
      <c r="S9" s="7">
        <f>[1]!s_info_margin(A9)</f>
        <v>3142.9</v>
      </c>
    </row>
    <row r="10" spans="1:20" x14ac:dyDescent="0.25">
      <c r="A10" s="6" t="s">
        <v>6</v>
      </c>
      <c r="B10" s="9">
        <f>[1]!w_info_strikeprice(A10,"")</f>
        <v>4.2</v>
      </c>
      <c r="C10" s="2">
        <f>RTD("wdf.rtq",,A10,"LastPrice")</f>
        <v>6.54E-2</v>
      </c>
      <c r="D10" s="2">
        <f t="shared" si="0"/>
        <v>6.5349999999999991E-2</v>
      </c>
      <c r="E10" s="2">
        <f>RTD("wdf.rtq",,A10,"Bid_Price1")</f>
        <v>6.5299999999999997E-2</v>
      </c>
      <c r="F10" s="2">
        <f>RTD("wdf.rtq",,A10,"Ask_Price1")</f>
        <v>6.54E-2</v>
      </c>
      <c r="G10" s="2">
        <f>RTD("wdf.rtq",,A10,"Change")</f>
        <v>3.7400000000000003E-2</v>
      </c>
      <c r="H10" s="2">
        <f>RTD("wdf.rtq",,A10,"PctChg")</f>
        <v>133.57000000000002</v>
      </c>
      <c r="I10" s="2">
        <f>RTD("wdf.rtq",,A10,"Volume")</f>
        <v>141147</v>
      </c>
      <c r="J10" s="2">
        <f>RTD("wdf.rtq",,A10, "rt_oi","RT_Price")</f>
        <v>83444</v>
      </c>
      <c r="K10" s="2">
        <f>RTD("wdf.rtq",,A10,"ImpliedVol")</f>
        <v>0.41800000000000004</v>
      </c>
      <c r="L10" s="2">
        <f>RTD("wdf.rtq",,A10, "rt_miv","RT_Price")</f>
        <v>0.41820000000000002</v>
      </c>
      <c r="M10" s="2">
        <f>RTD("wdf.rtq",,A10,"Delta")</f>
        <v>0.3221</v>
      </c>
      <c r="N10" s="2">
        <f ca="1">RTD("wdf.rtq",,$A10,N$2)</f>
        <v>6.8500000000000005E-2</v>
      </c>
      <c r="O10" s="2">
        <f ca="1">RTD("wdf.rtq",,$A10,O$2)</f>
        <v>2.0000000000000001E-4</v>
      </c>
      <c r="P10" s="2">
        <f ca="1">RTD("wdf.rtq",,$A10,P$2)</f>
        <v>-3.0000000000000003E-4</v>
      </c>
      <c r="Q10" s="3">
        <f>[1]!w_info_ptmtradeday(A10,"")</f>
        <v>10</v>
      </c>
      <c r="R10" s="1" t="str">
        <f>[1]!w_info_callput(A10)</f>
        <v>认购</v>
      </c>
      <c r="S10" s="7">
        <f>[1]!s_info_margin(A10)</f>
        <v>2986.9</v>
      </c>
    </row>
    <row r="11" spans="1:20" x14ac:dyDescent="0.25">
      <c r="A11" s="6" t="s">
        <v>5</v>
      </c>
      <c r="B11" s="9">
        <f>[1]!w_info_strikeprice(A11,"")</f>
        <v>4.3</v>
      </c>
      <c r="C11" s="2">
        <f>RTD("wdf.rtq",,A11,"LastPrice")</f>
        <v>4.4600000000000001E-2</v>
      </c>
      <c r="D11" s="2">
        <f t="shared" si="0"/>
        <v>4.4650000000000002E-2</v>
      </c>
      <c r="E11" s="2">
        <f>RTD("wdf.rtq",,A11,"Bid_Price1")</f>
        <v>4.4600000000000001E-2</v>
      </c>
      <c r="F11" s="2">
        <f>RTD("wdf.rtq",,A11,"Ask_Price1")</f>
        <v>4.4700000000000004E-2</v>
      </c>
      <c r="G11" s="2">
        <f>RTD("wdf.rtq",,A11,"Change")</f>
        <v>2.5500000000000002E-2</v>
      </c>
      <c r="H11" s="2">
        <f>RTD("wdf.rtq",,A11,"PctChg")</f>
        <v>133.51</v>
      </c>
      <c r="I11" s="2">
        <f>RTD("wdf.rtq",,A11,"Volume")</f>
        <v>110165</v>
      </c>
      <c r="J11" s="2">
        <f>RTD("wdf.rtq",,A11, "rt_oi","RT_Price")</f>
        <v>92933</v>
      </c>
      <c r="K11" s="2">
        <f>RTD("wdf.rtq",,A11,"ImpliedVol")</f>
        <v>0.43420000000000003</v>
      </c>
      <c r="L11" s="2">
        <f>RTD("wdf.rtq",,A11, "rt_miv","RT_Price")</f>
        <v>0.43470000000000003</v>
      </c>
      <c r="M11" s="2">
        <f>RTD("wdf.rtq",,A11,"Delta")</f>
        <v>0.23500000000000001</v>
      </c>
      <c r="N11" s="2">
        <f ca="1">RTD("wdf.rtq",,$A11,N$2)</f>
        <v>6.8500000000000005E-2</v>
      </c>
      <c r="O11" s="2">
        <f ca="1">RTD("wdf.rtq",,$A11,O$2)</f>
        <v>2.0000000000000001E-4</v>
      </c>
      <c r="P11" s="2">
        <f ca="1">RTD("wdf.rtq",,$A11,P$2)</f>
        <v>-3.0000000000000003E-4</v>
      </c>
      <c r="Q11" s="3">
        <f>[1]!w_info_ptmtradeday(A11,"")</f>
        <v>10</v>
      </c>
      <c r="R11" s="1" t="str">
        <f>[1]!w_info_callput(A11)</f>
        <v>认购</v>
      </c>
      <c r="S11" s="7">
        <f>[1]!s_info_margin(A11)</f>
        <v>2897.9</v>
      </c>
    </row>
    <row r="12" spans="1:20" x14ac:dyDescent="0.25">
      <c r="A12" s="6" t="s">
        <v>4</v>
      </c>
      <c r="B12" s="9">
        <f>[1]!w_info_strikeprice(A12,"")</f>
        <v>4.4000000000000004</v>
      </c>
      <c r="C12" s="2">
        <f>RTD("wdf.rtq",,A12,"LastPrice")</f>
        <v>3.0600000000000002E-2</v>
      </c>
      <c r="D12" s="2">
        <f t="shared" si="0"/>
        <v>3.0550000000000001E-2</v>
      </c>
      <c r="E12" s="2">
        <f>RTD("wdf.rtq",,A12,"Bid_Price1")</f>
        <v>3.0500000000000003E-2</v>
      </c>
      <c r="F12" s="2">
        <f>RTD("wdf.rtq",,A12,"Ask_Price1")</f>
        <v>3.0600000000000002E-2</v>
      </c>
      <c r="G12" s="2">
        <f>RTD("wdf.rtq",,A12,"Change")</f>
        <v>1.7600000000000001E-2</v>
      </c>
      <c r="H12" s="2">
        <f>RTD("wdf.rtq",,A12,"PctChg")</f>
        <v>135.38000000000002</v>
      </c>
      <c r="I12" s="2">
        <f>RTD("wdf.rtq",,A12,"Volume")</f>
        <v>67486</v>
      </c>
      <c r="J12" s="2">
        <f>RTD("wdf.rtq",,A12, "rt_oi","RT_Price")</f>
        <v>63357</v>
      </c>
      <c r="K12" s="2">
        <f>RTD("wdf.rtq",,A12,"ImpliedVol")</f>
        <v>0.45150000000000001</v>
      </c>
      <c r="L12" s="2">
        <f>RTD("wdf.rtq",,A12, "rt_miv","RT_Price")</f>
        <v>0.45150000000000001</v>
      </c>
      <c r="M12" s="2">
        <f>RTD("wdf.rtq",,A12,"Delta")</f>
        <v>0.1696</v>
      </c>
      <c r="N12" s="2">
        <f ca="1">RTD("wdf.rtq",,$A12,N$2)</f>
        <v>6.8500000000000005E-2</v>
      </c>
      <c r="O12" s="2">
        <f ca="1">RTD("wdf.rtq",,$A12,O$2)</f>
        <v>2.0000000000000001E-4</v>
      </c>
      <c r="P12" s="2">
        <f ca="1">RTD("wdf.rtq",,$A12,P$2)</f>
        <v>-3.0000000000000003E-4</v>
      </c>
      <c r="Q12" s="3">
        <f>[1]!w_info_ptmtradeday(A12,"")</f>
        <v>10</v>
      </c>
      <c r="R12" s="1" t="str">
        <f>[1]!w_info_callput(A12)</f>
        <v>认购</v>
      </c>
      <c r="S12" s="7">
        <f>[1]!s_info_margin(A12)</f>
        <v>2836.9</v>
      </c>
    </row>
    <row r="13" spans="1:20" x14ac:dyDescent="0.25">
      <c r="A13" s="6" t="s">
        <v>3</v>
      </c>
      <c r="B13" s="9">
        <f>[1]!w_info_strikeprice(A13,"")</f>
        <v>4.5</v>
      </c>
      <c r="C13" s="2">
        <f>RTD("wdf.rtq",,A13,"LastPrice")</f>
        <v>2.2100000000000002E-2</v>
      </c>
      <c r="D13" s="2">
        <f t="shared" si="0"/>
        <v>2.205E-2</v>
      </c>
      <c r="E13" s="2">
        <f>RTD("wdf.rtq",,A13,"Bid_Price1")</f>
        <v>2.2000000000000002E-2</v>
      </c>
      <c r="F13" s="2">
        <f>RTD("wdf.rtq",,A13,"Ask_Price1")</f>
        <v>2.2100000000000002E-2</v>
      </c>
      <c r="G13" s="2">
        <f>RTD("wdf.rtq",,A13,"Change")</f>
        <v>1.2800000000000001E-2</v>
      </c>
      <c r="H13" s="2">
        <f>RTD("wdf.rtq",,A13,"PctChg")</f>
        <v>137.63</v>
      </c>
      <c r="I13" s="2">
        <f>RTD("wdf.rtq",,A13,"Volume")</f>
        <v>68302</v>
      </c>
      <c r="J13" s="2">
        <f>RTD("wdf.rtq",,A13, "rt_oi","RT_Price")</f>
        <v>69964</v>
      </c>
      <c r="K13" s="2">
        <f>RTD("wdf.rtq",,A13,"ImpliedVol")</f>
        <v>0.47500000000000003</v>
      </c>
      <c r="L13" s="2">
        <f>RTD("wdf.rtq",,A13, "rt_miv","RT_Price")</f>
        <v>0.47490000000000004</v>
      </c>
      <c r="M13" s="2">
        <f>RTD("wdf.rtq",,A13,"Delta")</f>
        <v>0.12520000000000001</v>
      </c>
      <c r="N13" s="2">
        <f ca="1">RTD("wdf.rtq",,$A13,N$2)</f>
        <v>6.8500000000000005E-2</v>
      </c>
      <c r="O13" s="2">
        <f ca="1">RTD("wdf.rtq",,$A13,O$2)</f>
        <v>2.0000000000000001E-4</v>
      </c>
      <c r="P13" s="2">
        <f ca="1">RTD("wdf.rtq",,$A13,P$2)</f>
        <v>-3.0000000000000003E-4</v>
      </c>
      <c r="Q13" s="3">
        <f>[1]!w_info_ptmtradeday(A13,"")</f>
        <v>10</v>
      </c>
      <c r="R13" s="1" t="str">
        <f>[1]!w_info_callput(A13)</f>
        <v>认购</v>
      </c>
      <c r="S13" s="7">
        <f>[1]!s_info_margin(A13)</f>
        <v>2799.9</v>
      </c>
    </row>
    <row r="14" spans="1:20" x14ac:dyDescent="0.25">
      <c r="A14" s="6" t="s">
        <v>2</v>
      </c>
      <c r="B14" s="9">
        <f>[1]!w_info_strikeprice(A14,"")</f>
        <v>4.5999999999999996</v>
      </c>
      <c r="C14" s="2">
        <f>RTD("wdf.rtq",,A14,"LastPrice")</f>
        <v>1.4700000000000001E-2</v>
      </c>
      <c r="D14" s="2">
        <f t="shared" si="0"/>
        <v>1.465E-2</v>
      </c>
      <c r="E14" s="2">
        <f>RTD("wdf.rtq",,A14,"Bid_Price1")</f>
        <v>1.46E-2</v>
      </c>
      <c r="F14" s="2">
        <f>RTD("wdf.rtq",,A14,"Ask_Price1")</f>
        <v>1.4700000000000001E-2</v>
      </c>
      <c r="G14" s="2">
        <f>RTD("wdf.rtq",,A14,"Change")</f>
        <v>8.3000000000000001E-3</v>
      </c>
      <c r="H14" s="2">
        <f>RTD("wdf.rtq",,A14,"PctChg")</f>
        <v>129.69000000000003</v>
      </c>
      <c r="I14" s="2">
        <f>RTD("wdf.rtq",,A14,"Volume")</f>
        <v>33258</v>
      </c>
      <c r="J14" s="2">
        <f>RTD("wdf.rtq",,A14, "rt_oi","RT_Price")</f>
        <v>37753</v>
      </c>
      <c r="K14" s="2">
        <f>RTD("wdf.rtq",,A14,"ImpliedVol")</f>
        <v>0.4859</v>
      </c>
      <c r="L14" s="2">
        <f>RTD("wdf.rtq",,A14, "rt_miv","RT_Price")</f>
        <v>0.48570000000000002</v>
      </c>
      <c r="M14" s="2">
        <f>RTD("wdf.rtq",,A14,"Delta")</f>
        <v>8.7599999999999997E-2</v>
      </c>
      <c r="N14" s="2">
        <f ca="1">RTD("wdf.rtq",,$A14,N$2)</f>
        <v>6.8500000000000005E-2</v>
      </c>
      <c r="O14" s="2">
        <f ca="1">RTD("wdf.rtq",,$A14,O$2)</f>
        <v>2.0000000000000001E-4</v>
      </c>
      <c r="P14" s="2">
        <f ca="1">RTD("wdf.rtq",,$A14,P$2)</f>
        <v>-3.0000000000000003E-4</v>
      </c>
      <c r="Q14" s="3">
        <f>[1]!w_info_ptmtradeday(A14,"")</f>
        <v>10</v>
      </c>
      <c r="R14" s="1" t="str">
        <f>[1]!w_info_callput(A14)</f>
        <v>认购</v>
      </c>
      <c r="S14" s="7">
        <f>[1]!s_info_margin(A14)</f>
        <v>2770.9</v>
      </c>
    </row>
    <row r="15" spans="1:20" x14ac:dyDescent="0.25">
      <c r="A15" s="6" t="s">
        <v>1</v>
      </c>
      <c r="B15" s="9">
        <f>[1]!w_info_strikeprice(A15,"")</f>
        <v>4.7</v>
      </c>
      <c r="C15" s="2">
        <f>RTD("wdf.rtq",,A15,"LastPrice")</f>
        <v>1.1600000000000001E-2</v>
      </c>
      <c r="D15" s="2">
        <f t="shared" si="0"/>
        <v>1.1550000000000001E-2</v>
      </c>
      <c r="E15" s="2">
        <f>RTD("wdf.rtq",,A15,"Bid_Price1")</f>
        <v>1.15E-2</v>
      </c>
      <c r="F15" s="2">
        <f>RTD("wdf.rtq",,A15,"Ask_Price1")</f>
        <v>1.1600000000000001E-2</v>
      </c>
      <c r="G15" s="2">
        <f>RTD("wdf.rtq",,A15,"Change")</f>
        <v>6.8000000000000005E-3</v>
      </c>
      <c r="H15" s="2">
        <f>RTD("wdf.rtq",,A15,"PctChg")</f>
        <v>141.67000000000002</v>
      </c>
      <c r="I15" s="2">
        <f>RTD("wdf.rtq",,A15,"Volume")</f>
        <v>34384</v>
      </c>
      <c r="J15" s="2">
        <f>RTD("wdf.rtq",,A15, "rt_oi","RT_Price")</f>
        <v>42486</v>
      </c>
      <c r="K15" s="2">
        <f>RTD("wdf.rtq",,A15,"ImpliedVol")</f>
        <v>0.51550000000000007</v>
      </c>
      <c r="L15" s="2">
        <f>RTD("wdf.rtq",,A15, "rt_miv","RT_Price")</f>
        <v>0.51519999999999999</v>
      </c>
      <c r="M15" s="2">
        <f>RTD("wdf.rtq",,A15,"Delta")</f>
        <v>6.83E-2</v>
      </c>
      <c r="N15" s="2">
        <f ca="1">RTD("wdf.rtq",,$A15,N$2)</f>
        <v>6.8500000000000005E-2</v>
      </c>
      <c r="O15" s="2">
        <f ca="1">RTD("wdf.rtq",,$A15,O$2)</f>
        <v>2.0000000000000001E-4</v>
      </c>
      <c r="P15" s="2">
        <f ca="1">RTD("wdf.rtq",,$A15,P$2)</f>
        <v>-3.0000000000000003E-4</v>
      </c>
      <c r="Q15" s="3">
        <f>[1]!w_info_ptmtradeday(A15,"")</f>
        <v>10</v>
      </c>
      <c r="R15" s="1" t="str">
        <f>[1]!w_info_callput(A15)</f>
        <v>认购</v>
      </c>
      <c r="S15" s="7">
        <f>[1]!s_info_margin(A15)</f>
        <v>2754.9</v>
      </c>
    </row>
    <row r="16" spans="1:20" x14ac:dyDescent="0.25">
      <c r="A16" s="6" t="s">
        <v>0</v>
      </c>
      <c r="B16" s="9">
        <f>[1]!w_info_strikeprice(A16,"")</f>
        <v>4.8</v>
      </c>
      <c r="C16" s="2">
        <f>RTD("wdf.rtq",,A16,"LastPrice")</f>
        <v>8.0999999999999996E-3</v>
      </c>
      <c r="D16" s="2">
        <f t="shared" si="0"/>
        <v>8.0000000000000002E-3</v>
      </c>
      <c r="E16" s="2">
        <f>RTD("wdf.rtq",,A16,"Bid_Price1")</f>
        <v>7.9000000000000008E-3</v>
      </c>
      <c r="F16" s="2">
        <f>RTD("wdf.rtq",,A16,"Ask_Price1")</f>
        <v>8.0999999999999996E-3</v>
      </c>
      <c r="G16" s="2">
        <f>RTD("wdf.rtq",,A16,"Change")</f>
        <v>4.8000000000000004E-3</v>
      </c>
      <c r="H16" s="2">
        <f>RTD("wdf.rtq",,A16,"PctChg")</f>
        <v>145.45000000000002</v>
      </c>
      <c r="I16" s="2">
        <f>RTD("wdf.rtq",,A16,"Volume")</f>
        <v>83353</v>
      </c>
      <c r="J16" s="2">
        <f>RTD("wdf.rtq",,A16, "rt_oi","RT_Price")</f>
        <v>77559</v>
      </c>
      <c r="K16" s="2">
        <f>RTD("wdf.rtq",,A16,"ImpliedVol")</f>
        <v>0.52910000000000001</v>
      </c>
      <c r="L16" s="2">
        <f>RTD("wdf.rtq",,A16, "rt_miv","RT_Price")</f>
        <v>0.52810000000000001</v>
      </c>
      <c r="M16" s="2">
        <f>RTD("wdf.rtq",,A16,"Delta")</f>
        <v>4.9000000000000002E-2</v>
      </c>
      <c r="N16" s="2">
        <f ca="1">RTD("wdf.rtq",,$A16,N$2)</f>
        <v>6.8500000000000005E-2</v>
      </c>
      <c r="O16" s="2">
        <f ca="1">RTD("wdf.rtq",,$A16,O$2)</f>
        <v>2.0000000000000001E-4</v>
      </c>
      <c r="P16" s="2">
        <f ca="1">RTD("wdf.rtq",,$A16,P$2)</f>
        <v>-3.0000000000000003E-4</v>
      </c>
      <c r="Q16" s="3">
        <f>[1]!w_info_ptmtradeday(A16,"")</f>
        <v>10</v>
      </c>
      <c r="R16" s="1" t="str">
        <f>[1]!w_info_callput(A16)</f>
        <v>认购</v>
      </c>
      <c r="S16" s="7">
        <f>[1]!s_info_margin(A16)</f>
        <v>2739.9</v>
      </c>
    </row>
    <row r="17" spans="1:19" x14ac:dyDescent="0.25">
      <c r="A17" s="6" t="s">
        <v>32</v>
      </c>
      <c r="B17" s="9">
        <f>[1]!w_info_strikeprice(A17,"")</f>
        <v>3.6</v>
      </c>
      <c r="C17" s="2">
        <f>RTD("wdf.rtq",,A17,"LastPrice")</f>
        <v>0.48230000000000001</v>
      </c>
      <c r="D17" s="2">
        <f t="shared" si="0"/>
        <v>0.48310000000000003</v>
      </c>
      <c r="E17" s="2">
        <f>RTD("wdf.rtq",,A17,"Bid_Price1")</f>
        <v>0.47960000000000003</v>
      </c>
      <c r="F17" s="2">
        <f>RTD("wdf.rtq",,A17,"Ask_Price1")</f>
        <v>0.48660000000000003</v>
      </c>
      <c r="G17" s="2">
        <f>RTD("wdf.rtq",,A17,"Change")</f>
        <v>0.12890000000000001</v>
      </c>
      <c r="H17" s="2">
        <f>RTD("wdf.rtq",,A17,"PctChg")</f>
        <v>36.47</v>
      </c>
      <c r="I17" s="2">
        <f>RTD("wdf.rtq",,A17,"Volume")</f>
        <v>312</v>
      </c>
      <c r="J17" s="2">
        <f>RTD("wdf.rtq",,A17, "rt_oi","RT_Price")</f>
        <v>758</v>
      </c>
      <c r="K17" s="2">
        <f>RTD("wdf.rtq",,A17,"ImpliedVol")</f>
        <v>0.39750000000000002</v>
      </c>
      <c r="L17" s="2">
        <f>RTD("wdf.rtq",,A17, "rt_miv","RT_Price")</f>
        <v>0.38530000000000003</v>
      </c>
      <c r="M17" s="2">
        <f>RTD("wdf.rtq",,A17,"Delta")</f>
        <v>0.78350000000000009</v>
      </c>
      <c r="N17" s="2">
        <f ca="1">RTD("wdf.rtq",,$A17,N$2)</f>
        <v>6.8500000000000005E-2</v>
      </c>
      <c r="O17" s="2">
        <f ca="1">RTD("wdf.rtq",,$A17,O$2)</f>
        <v>2.0000000000000001E-4</v>
      </c>
      <c r="P17" s="2">
        <f ca="1">RTD("wdf.rtq",,$A17,P$2)</f>
        <v>-3.0000000000000003E-4</v>
      </c>
      <c r="Q17" s="3">
        <f>[1]!w_info_ptmtradeday(A17,"")</f>
        <v>35</v>
      </c>
      <c r="R17" s="1" t="str">
        <f>[1]!w_info_callput(A17)</f>
        <v>认购</v>
      </c>
      <c r="S17" s="7">
        <f>[1]!s_info_margin(A17)</f>
        <v>8174.4</v>
      </c>
    </row>
    <row r="18" spans="1:19" x14ac:dyDescent="0.25">
      <c r="A18" s="6" t="s">
        <v>33</v>
      </c>
      <c r="B18" s="9">
        <f>[1]!w_info_strikeprice(A18,"")</f>
        <v>3.7</v>
      </c>
      <c r="C18" s="2">
        <f>RTD("wdf.rtq",,A18,"LastPrice")</f>
        <v>0.41160000000000002</v>
      </c>
      <c r="D18" s="2">
        <f t="shared" si="0"/>
        <v>0.40985000000000005</v>
      </c>
      <c r="E18" s="2">
        <f>RTD("wdf.rtq",,A18,"Bid_Price1")</f>
        <v>0.40970000000000001</v>
      </c>
      <c r="F18" s="2">
        <f>RTD("wdf.rtq",,A18,"Ask_Price1")</f>
        <v>0.41000000000000003</v>
      </c>
      <c r="G18" s="2">
        <f>RTD("wdf.rtq",,A18,"Change")</f>
        <v>0.1187</v>
      </c>
      <c r="H18" s="2">
        <f>RTD("wdf.rtq",,A18,"PctChg")</f>
        <v>40.53</v>
      </c>
      <c r="I18" s="2">
        <f>RTD("wdf.rtq",,A18,"Volume")</f>
        <v>1754</v>
      </c>
      <c r="J18" s="2">
        <f>RTD("wdf.rtq",,A18, "rt_oi","RT_Price")</f>
        <v>1890</v>
      </c>
      <c r="K18" s="2">
        <f>RTD("wdf.rtq",,A18,"ImpliedVol")</f>
        <v>0.38750000000000001</v>
      </c>
      <c r="L18" s="2">
        <f>RTD("wdf.rtq",,A18, "rt_miv","RT_Price")</f>
        <v>0.38250000000000001</v>
      </c>
      <c r="M18" s="2">
        <f>RTD("wdf.rtq",,A18,"Delta")</f>
        <v>0.73460000000000003</v>
      </c>
      <c r="N18" s="2">
        <f ca="1">RTD("wdf.rtq",,$A18,N$2)</f>
        <v>6.8500000000000005E-2</v>
      </c>
      <c r="O18" s="2">
        <f ca="1">RTD("wdf.rtq",,$A18,O$2)</f>
        <v>2.0000000000000001E-4</v>
      </c>
      <c r="P18" s="2">
        <f ca="1">RTD("wdf.rtq",,$A18,P$2)</f>
        <v>-3.0000000000000003E-4</v>
      </c>
      <c r="Q18" s="3">
        <f>[1]!w_info_ptmtradeday(A18,"")</f>
        <v>35</v>
      </c>
      <c r="R18" s="1" t="str">
        <f>[1]!w_info_callput(A18)</f>
        <v>认购</v>
      </c>
      <c r="S18" s="7">
        <f>[1]!s_info_margin(A18)</f>
        <v>7569.4</v>
      </c>
    </row>
    <row r="19" spans="1:19" x14ac:dyDescent="0.25">
      <c r="A19" s="6" t="s">
        <v>34</v>
      </c>
      <c r="B19" s="9">
        <f>[1]!w_info_strikeprice(A19,"")</f>
        <v>3.8</v>
      </c>
      <c r="C19" s="2">
        <f>RTD("wdf.rtq",,A19,"LastPrice")</f>
        <v>0.3473</v>
      </c>
      <c r="D19" s="2">
        <f t="shared" si="0"/>
        <v>0.34794999999999998</v>
      </c>
      <c r="E19" s="2">
        <f>RTD("wdf.rtq",,A19,"Bid_Price1")</f>
        <v>0.34320000000000001</v>
      </c>
      <c r="F19" s="2">
        <f>RTD("wdf.rtq",,A19,"Ask_Price1")</f>
        <v>0.35270000000000001</v>
      </c>
      <c r="G19" s="2">
        <f>RTD("wdf.rtq",,A19,"Change")</f>
        <v>0.1115</v>
      </c>
      <c r="H19" s="2">
        <f>RTD("wdf.rtq",,A19,"PctChg")</f>
        <v>47.290000000000006</v>
      </c>
      <c r="I19" s="2">
        <f>RTD("wdf.rtq",,A19,"Volume")</f>
        <v>12506</v>
      </c>
      <c r="J19" s="2">
        <f>RTD("wdf.rtq",,A19, "rt_oi","RT_Price")</f>
        <v>5873</v>
      </c>
      <c r="K19" s="2">
        <f>RTD("wdf.rtq",,A19,"ImpliedVol")</f>
        <v>0.38700000000000001</v>
      </c>
      <c r="L19" s="2">
        <f>RTD("wdf.rtq",,A19, "rt_miv","RT_Price")</f>
        <v>0.38890000000000002</v>
      </c>
      <c r="M19" s="2">
        <f>RTD("wdf.rtq",,A19,"Delta")</f>
        <v>0.67090000000000005</v>
      </c>
      <c r="N19" s="2">
        <f ca="1">RTD("wdf.rtq",,$A19,N$2)</f>
        <v>6.8500000000000005E-2</v>
      </c>
      <c r="O19" s="2">
        <f ca="1">RTD("wdf.rtq",,$A19,O$2)</f>
        <v>2.0000000000000001E-4</v>
      </c>
      <c r="P19" s="2">
        <f ca="1">RTD("wdf.rtq",,$A19,P$2)</f>
        <v>-3.0000000000000003E-4</v>
      </c>
      <c r="Q19" s="3">
        <f>[1]!w_info_ptmtradeday(A19,"")</f>
        <v>35</v>
      </c>
      <c r="R19" s="1" t="str">
        <f>[1]!w_info_callput(A19)</f>
        <v>认购</v>
      </c>
      <c r="S19" s="7">
        <f>[1]!s_info_margin(A19)</f>
        <v>6998.4</v>
      </c>
    </row>
    <row r="20" spans="1:19" x14ac:dyDescent="0.25">
      <c r="A20" s="6" t="s">
        <v>35</v>
      </c>
      <c r="B20" s="9">
        <f>[1]!w_info_strikeprice(A20,"")</f>
        <v>3.9</v>
      </c>
      <c r="C20" s="2">
        <f>RTD("wdf.rtq",,A20,"LastPrice")</f>
        <v>0.28810000000000002</v>
      </c>
      <c r="D20" s="2">
        <f t="shared" si="0"/>
        <v>0.28695000000000004</v>
      </c>
      <c r="E20" s="2">
        <f>RTD("wdf.rtq",,A20,"Bid_Price1")</f>
        <v>0.28560000000000002</v>
      </c>
      <c r="F20" s="2">
        <f>RTD("wdf.rtq",,A20,"Ask_Price1")</f>
        <v>0.2883</v>
      </c>
      <c r="G20" s="2">
        <f>RTD("wdf.rtq",,A20,"Change")</f>
        <v>9.5500000000000002E-2</v>
      </c>
      <c r="H20" s="2">
        <f>RTD("wdf.rtq",,A20,"PctChg")</f>
        <v>49.58</v>
      </c>
      <c r="I20" s="2">
        <f>RTD("wdf.rtq",,A20,"Volume")</f>
        <v>14076</v>
      </c>
      <c r="J20" s="2">
        <f>RTD("wdf.rtq",,A20, "rt_oi","RT_Price")</f>
        <v>7107</v>
      </c>
      <c r="K20" s="2">
        <f>RTD("wdf.rtq",,A20,"ImpliedVol")</f>
        <v>0.38740000000000002</v>
      </c>
      <c r="L20" s="2">
        <f>RTD("wdf.rtq",,A20, "rt_miv","RT_Price")</f>
        <v>0.3841</v>
      </c>
      <c r="M20" s="2">
        <f>RTD("wdf.rtq",,A20,"Delta")</f>
        <v>0.60389999999999999</v>
      </c>
      <c r="N20" s="2">
        <f ca="1">RTD("wdf.rtq",,$A20,N$2)</f>
        <v>6.8500000000000005E-2</v>
      </c>
      <c r="O20" s="2">
        <f ca="1">RTD("wdf.rtq",,$A20,O$2)</f>
        <v>2.0000000000000001E-4</v>
      </c>
      <c r="P20" s="2">
        <f ca="1">RTD("wdf.rtq",,$A20,P$2)</f>
        <v>-3.0000000000000003E-4</v>
      </c>
      <c r="Q20" s="3">
        <f>[1]!w_info_ptmtradeday(A20,"")</f>
        <v>35</v>
      </c>
      <c r="R20" s="1" t="str">
        <f>[1]!w_info_callput(A20)</f>
        <v>认购</v>
      </c>
      <c r="S20" s="7">
        <f>[1]!s_info_margin(A20)</f>
        <v>6236.4</v>
      </c>
    </row>
    <row r="21" spans="1:19" x14ac:dyDescent="0.25">
      <c r="A21" s="6" t="s">
        <v>36</v>
      </c>
      <c r="B21" s="9">
        <f>[1]!w_info_strikeprice(A21,"")</f>
        <v>4</v>
      </c>
      <c r="C21" s="2">
        <f>RTD("wdf.rtq",,A21,"LastPrice")</f>
        <v>0.23950000000000002</v>
      </c>
      <c r="D21" s="2">
        <f t="shared" si="0"/>
        <v>0.23970000000000002</v>
      </c>
      <c r="E21" s="2">
        <f>RTD("wdf.rtq",,A21,"Bid_Price1")</f>
        <v>0.23950000000000002</v>
      </c>
      <c r="F21" s="2">
        <f>RTD("wdf.rtq",,A21,"Ask_Price1")</f>
        <v>0.2399</v>
      </c>
      <c r="G21" s="2">
        <f>RTD("wdf.rtq",,A21,"Change")</f>
        <v>8.6000000000000007E-2</v>
      </c>
      <c r="H21" s="2">
        <f>RTD("wdf.rtq",,A21,"PctChg")</f>
        <v>56.03</v>
      </c>
      <c r="I21" s="2">
        <f>RTD("wdf.rtq",,A21,"Volume")</f>
        <v>15874</v>
      </c>
      <c r="J21" s="2">
        <f>RTD("wdf.rtq",,A21, "rt_oi","RT_Price")</f>
        <v>11948</v>
      </c>
      <c r="K21" s="2">
        <f>RTD("wdf.rtq",,A21,"ImpliedVol")</f>
        <v>0.3916</v>
      </c>
      <c r="L21" s="2">
        <f>RTD("wdf.rtq",,A21, "rt_miv","RT_Price")</f>
        <v>0.39100000000000001</v>
      </c>
      <c r="M21" s="2">
        <f>RTD("wdf.rtq",,A21,"Delta")</f>
        <v>0.53590000000000004</v>
      </c>
      <c r="N21" s="2">
        <f ca="1">RTD("wdf.rtq",,$A21,N$2)</f>
        <v>6.8500000000000005E-2</v>
      </c>
      <c r="O21" s="2">
        <f ca="1">RTD("wdf.rtq",,$A21,O$2)</f>
        <v>2.0000000000000001E-4</v>
      </c>
      <c r="P21" s="2">
        <f ca="1">RTD("wdf.rtq",,$A21,P$2)</f>
        <v>-3.0000000000000003E-4</v>
      </c>
      <c r="Q21" s="3">
        <f>[1]!w_info_ptmtradeday(A21,"")</f>
        <v>35</v>
      </c>
      <c r="R21" s="1" t="str">
        <f>[1]!w_info_callput(A21)</f>
        <v>认购</v>
      </c>
      <c r="S21" s="7">
        <f>[1]!s_info_margin(A21)</f>
        <v>4845.3999999999996</v>
      </c>
    </row>
    <row r="22" spans="1:19" x14ac:dyDescent="0.25">
      <c r="A22" s="6" t="s">
        <v>37</v>
      </c>
      <c r="B22" s="9">
        <f>[1]!w_info_strikeprice(A22,"")</f>
        <v>4.0999999999999996</v>
      </c>
      <c r="C22" s="2">
        <f>RTD("wdf.rtq",,A22,"LastPrice")</f>
        <v>0.19400000000000001</v>
      </c>
      <c r="D22" s="2">
        <f t="shared" si="0"/>
        <v>0.19450000000000001</v>
      </c>
      <c r="E22" s="2">
        <f>RTD("wdf.rtq",,A22,"Bid_Price1")</f>
        <v>0.19400000000000001</v>
      </c>
      <c r="F22" s="2">
        <f>RTD("wdf.rtq",,A22,"Ask_Price1")</f>
        <v>0.19500000000000001</v>
      </c>
      <c r="G22" s="2">
        <f>RTD("wdf.rtq",,A22,"Change")</f>
        <v>7.1400000000000005E-2</v>
      </c>
      <c r="H22" s="2">
        <f>RTD("wdf.rtq",,A22,"PctChg")</f>
        <v>58.24</v>
      </c>
      <c r="I22" s="2">
        <f>RTD("wdf.rtq",,A22,"Volume")</f>
        <v>10551</v>
      </c>
      <c r="J22" s="2">
        <f>RTD("wdf.rtq",,A22, "rt_oi","RT_Price")</f>
        <v>9908</v>
      </c>
      <c r="K22" s="2">
        <f>RTD("wdf.rtq",,A22,"ImpliedVol")</f>
        <v>0.38980000000000004</v>
      </c>
      <c r="L22" s="2">
        <f>RTD("wdf.rtq",,A22, "rt_miv","RT_Price")</f>
        <v>0.38980000000000004</v>
      </c>
      <c r="M22" s="2">
        <f>RTD("wdf.rtq",,A22,"Delta")</f>
        <v>0.46850000000000003</v>
      </c>
      <c r="N22" s="2">
        <f ca="1">RTD("wdf.rtq",,$A22,N$2)</f>
        <v>6.8500000000000005E-2</v>
      </c>
      <c r="O22" s="2">
        <f ca="1">RTD("wdf.rtq",,$A22,O$2)</f>
        <v>2.0000000000000001E-4</v>
      </c>
      <c r="P22" s="2">
        <f ca="1">RTD("wdf.rtq",,$A22,P$2)</f>
        <v>-3.0000000000000003E-4</v>
      </c>
      <c r="Q22" s="3">
        <f>[1]!w_info_ptmtradeday(A22,"")</f>
        <v>35</v>
      </c>
      <c r="R22" s="1" t="str">
        <f>[1]!w_info_callput(A22)</f>
        <v>认购</v>
      </c>
      <c r="S22" s="7">
        <f>[1]!s_info_margin(A22)</f>
        <v>3932.9</v>
      </c>
    </row>
    <row r="23" spans="1:19" x14ac:dyDescent="0.25">
      <c r="A23" s="6" t="s">
        <v>38</v>
      </c>
      <c r="B23" s="9">
        <f>[1]!w_info_strikeprice(A23,"")</f>
        <v>4.2</v>
      </c>
      <c r="C23" s="2">
        <f>RTD("wdf.rtq",,A23,"LastPrice")</f>
        <v>0.15720000000000001</v>
      </c>
      <c r="D23" s="2">
        <f t="shared" si="0"/>
        <v>0.15770000000000001</v>
      </c>
      <c r="E23" s="2">
        <f>RTD("wdf.rtq",,A23,"Bid_Price1")</f>
        <v>0.15720000000000001</v>
      </c>
      <c r="F23" s="2">
        <f>RTD("wdf.rtq",,A23,"Ask_Price1")</f>
        <v>0.15820000000000001</v>
      </c>
      <c r="G23" s="2">
        <f>RTD("wdf.rtq",,A23,"Change")</f>
        <v>6.1100000000000002E-2</v>
      </c>
      <c r="H23" s="2">
        <f>RTD("wdf.rtq",,A23,"PctChg")</f>
        <v>63.580000000000005</v>
      </c>
      <c r="I23" s="2">
        <f>RTD("wdf.rtq",,A23,"Volume")</f>
        <v>14060</v>
      </c>
      <c r="J23" s="2">
        <f>RTD("wdf.rtq",,A23, "rt_oi","RT_Price")</f>
        <v>11305</v>
      </c>
      <c r="K23" s="2">
        <f>RTD("wdf.rtq",,A23,"ImpliedVol")</f>
        <v>0.39169999999999999</v>
      </c>
      <c r="L23" s="2">
        <f>RTD("wdf.rtq",,A23, "rt_miv","RT_Price")</f>
        <v>0.39190000000000003</v>
      </c>
      <c r="M23" s="2">
        <f>RTD("wdf.rtq",,A23,"Delta")</f>
        <v>0.40450000000000003</v>
      </c>
      <c r="N23" s="2">
        <f ca="1">RTD("wdf.rtq",,$A23,N$2)</f>
        <v>6.8500000000000005E-2</v>
      </c>
      <c r="O23" s="2">
        <f ca="1">RTD("wdf.rtq",,$A23,O$2)</f>
        <v>2.0000000000000001E-4</v>
      </c>
      <c r="P23" s="2">
        <f ca="1">RTD("wdf.rtq",,$A23,P$2)</f>
        <v>-3.0000000000000003E-4</v>
      </c>
      <c r="Q23" s="3">
        <f>[1]!w_info_ptmtradeday(A23,"")</f>
        <v>35</v>
      </c>
      <c r="R23" s="1" t="str">
        <f>[1]!w_info_callput(A23)</f>
        <v>认购</v>
      </c>
      <c r="S23" s="7">
        <f>[1]!s_info_margin(A23)</f>
        <v>3667.9</v>
      </c>
    </row>
    <row r="24" spans="1:19" x14ac:dyDescent="0.25">
      <c r="A24" s="6" t="s">
        <v>39</v>
      </c>
      <c r="B24" s="9">
        <f>[1]!w_info_strikeprice(A24,"")</f>
        <v>4.3</v>
      </c>
      <c r="C24" s="2">
        <f>RTD("wdf.rtq",,A24,"LastPrice")</f>
        <v>0.126</v>
      </c>
      <c r="D24" s="2">
        <f t="shared" si="0"/>
        <v>0.12595000000000001</v>
      </c>
      <c r="E24" s="2">
        <f>RTD("wdf.rtq",,A24,"Bid_Price1")</f>
        <v>0.12590000000000001</v>
      </c>
      <c r="F24" s="2">
        <f>RTD("wdf.rtq",,A24,"Ask_Price1")</f>
        <v>0.126</v>
      </c>
      <c r="G24" s="2">
        <f>RTD("wdf.rtq",,A24,"Change")</f>
        <v>4.9000000000000002E-2</v>
      </c>
      <c r="H24" s="2">
        <f>RTD("wdf.rtq",,A24,"PctChg")</f>
        <v>63.640000000000008</v>
      </c>
      <c r="I24" s="2">
        <f>RTD("wdf.rtq",,A24,"Volume")</f>
        <v>13345</v>
      </c>
      <c r="J24" s="2">
        <f>RTD("wdf.rtq",,A24, "rt_oi","RT_Price")</f>
        <v>14375</v>
      </c>
      <c r="K24" s="2">
        <f>RTD("wdf.rtq",,A24,"ImpliedVol")</f>
        <v>0.3931</v>
      </c>
      <c r="L24" s="2">
        <f>RTD("wdf.rtq",,A24, "rt_miv","RT_Price")</f>
        <v>0.39240000000000003</v>
      </c>
      <c r="M24" s="2">
        <f>RTD("wdf.rtq",,A24,"Delta")</f>
        <v>0.34460000000000002</v>
      </c>
      <c r="N24" s="2">
        <f ca="1">RTD("wdf.rtq",,$A24,N$2)</f>
        <v>6.8500000000000005E-2</v>
      </c>
      <c r="O24" s="2">
        <f ca="1">RTD("wdf.rtq",,$A24,O$2)</f>
        <v>2.0000000000000001E-4</v>
      </c>
      <c r="P24" s="2">
        <f ca="1">RTD("wdf.rtq",,$A24,P$2)</f>
        <v>-3.0000000000000003E-4</v>
      </c>
      <c r="Q24" s="3">
        <f>[1]!w_info_ptmtradeday(A24,"")</f>
        <v>35</v>
      </c>
      <c r="R24" s="1" t="str">
        <f>[1]!w_info_callput(A24)</f>
        <v>认购</v>
      </c>
      <c r="S24" s="7">
        <f>[1]!s_info_margin(A24)</f>
        <v>3476.9</v>
      </c>
    </row>
    <row r="25" spans="1:19" x14ac:dyDescent="0.25">
      <c r="A25" s="6" t="s">
        <v>40</v>
      </c>
      <c r="B25" s="9">
        <f>[1]!w_info_strikeprice(A25,"")</f>
        <v>4.4000000000000004</v>
      </c>
      <c r="C25" s="2">
        <f>RTD("wdf.rtq",,A25,"LastPrice")</f>
        <v>0.10160000000000001</v>
      </c>
      <c r="D25" s="2">
        <f t="shared" si="0"/>
        <v>0.10059999999999999</v>
      </c>
      <c r="E25" s="2">
        <f>RTD("wdf.rtq",,A25,"Bid_Price1")</f>
        <v>9.98E-2</v>
      </c>
      <c r="F25" s="2">
        <f>RTD("wdf.rtq",,A25,"Ask_Price1")</f>
        <v>0.1014</v>
      </c>
      <c r="G25" s="2">
        <f>RTD("wdf.rtq",,A25,"Change")</f>
        <v>4.2599999999999999E-2</v>
      </c>
      <c r="H25" s="2">
        <f>RTD("wdf.rtq",,A25,"PctChg")</f>
        <v>72.2</v>
      </c>
      <c r="I25" s="2">
        <f>RTD("wdf.rtq",,A25,"Volume")</f>
        <v>7768</v>
      </c>
      <c r="J25" s="2">
        <f>RTD("wdf.rtq",,A25, "rt_oi","RT_Price")</f>
        <v>10579</v>
      </c>
      <c r="K25" s="2">
        <f>RTD("wdf.rtq",,A25,"ImpliedVol")</f>
        <v>0.39690000000000003</v>
      </c>
      <c r="L25" s="2">
        <f>RTD("wdf.rtq",,A25, "rt_miv","RT_Price")</f>
        <v>0.39490000000000003</v>
      </c>
      <c r="M25" s="2">
        <f>RTD("wdf.rtq",,A25,"Delta")</f>
        <v>0.29150000000000004</v>
      </c>
      <c r="N25" s="2">
        <f ca="1">RTD("wdf.rtq",,$A25,N$2)</f>
        <v>6.8500000000000005E-2</v>
      </c>
      <c r="O25" s="2">
        <f ca="1">RTD("wdf.rtq",,$A25,O$2)</f>
        <v>2.0000000000000001E-4</v>
      </c>
      <c r="P25" s="2">
        <f ca="1">RTD("wdf.rtq",,$A25,P$2)</f>
        <v>-3.0000000000000003E-4</v>
      </c>
      <c r="Q25" s="3">
        <f>[1]!w_info_ptmtradeday(A25,"")</f>
        <v>35</v>
      </c>
      <c r="R25" s="1" t="str">
        <f>[1]!w_info_callput(A25)</f>
        <v>认购</v>
      </c>
      <c r="S25" s="7">
        <f>[1]!s_info_margin(A25)</f>
        <v>3296.9</v>
      </c>
    </row>
    <row r="26" spans="1:19" x14ac:dyDescent="0.25">
      <c r="A26" s="6" t="s">
        <v>41</v>
      </c>
      <c r="B26" s="9">
        <f>[1]!w_info_strikeprice(A26,"")</f>
        <v>4.5</v>
      </c>
      <c r="C26" s="2">
        <f>RTD("wdf.rtq",,A26,"LastPrice")</f>
        <v>8.0600000000000005E-2</v>
      </c>
      <c r="D26" s="2">
        <f t="shared" si="0"/>
        <v>7.8949999999999992E-2</v>
      </c>
      <c r="E26" s="2">
        <f>RTD("wdf.rtq",,A26,"Bid_Price1")</f>
        <v>7.8899999999999998E-2</v>
      </c>
      <c r="F26" s="2">
        <f>RTD("wdf.rtq",,A26,"Ask_Price1")</f>
        <v>7.9000000000000001E-2</v>
      </c>
      <c r="G26" s="2">
        <f>RTD("wdf.rtq",,A26,"Change")</f>
        <v>3.32E-2</v>
      </c>
      <c r="H26" s="2">
        <f>RTD("wdf.rtq",,A26,"PctChg")</f>
        <v>70.040000000000006</v>
      </c>
      <c r="I26" s="2">
        <f>RTD("wdf.rtq",,A26,"Volume")</f>
        <v>11691</v>
      </c>
      <c r="J26" s="2">
        <f>RTD("wdf.rtq",,A26, "rt_oi","RT_Price")</f>
        <v>10202</v>
      </c>
      <c r="K26" s="2">
        <f>RTD("wdf.rtq",,A26,"ImpliedVol")</f>
        <v>0.39690000000000003</v>
      </c>
      <c r="L26" s="2">
        <f>RTD("wdf.rtq",,A26, "rt_miv","RT_Price")</f>
        <v>0.39550000000000002</v>
      </c>
      <c r="M26" s="2">
        <f>RTD("wdf.rtq",,A26,"Delta")</f>
        <v>0.24260000000000001</v>
      </c>
      <c r="N26" s="2">
        <f ca="1">RTD("wdf.rtq",,$A26,N$2)</f>
        <v>6.8500000000000005E-2</v>
      </c>
      <c r="O26" s="2">
        <f ca="1">RTD("wdf.rtq",,$A26,O$2)</f>
        <v>2.0000000000000001E-4</v>
      </c>
      <c r="P26" s="2">
        <f ca="1">RTD("wdf.rtq",,$A26,P$2)</f>
        <v>-3.0000000000000003E-4</v>
      </c>
      <c r="Q26" s="3">
        <f>[1]!w_info_ptmtradeday(A26,"")</f>
        <v>35</v>
      </c>
      <c r="R26" s="1" t="str">
        <f>[1]!w_info_callput(A26)</f>
        <v>认购</v>
      </c>
      <c r="S26" s="7">
        <f>[1]!s_info_margin(A26)</f>
        <v>3180.9</v>
      </c>
    </row>
    <row r="27" spans="1:19" x14ac:dyDescent="0.25">
      <c r="A27" s="6" t="s">
        <v>42</v>
      </c>
      <c r="B27" s="9">
        <f>[1]!w_info_strikeprice(A27,"")</f>
        <v>4.5999999999999996</v>
      </c>
      <c r="C27" s="2">
        <f>RTD("wdf.rtq",,A27,"LastPrice")</f>
        <v>6.3800000000000009E-2</v>
      </c>
      <c r="D27" s="2">
        <f t="shared" si="0"/>
        <v>6.3250000000000001E-2</v>
      </c>
      <c r="E27" s="2">
        <f>RTD("wdf.rtq",,A27,"Bid_Price1")</f>
        <v>6.2400000000000004E-2</v>
      </c>
      <c r="F27" s="2">
        <f>RTD("wdf.rtq",,A27,"Ask_Price1")</f>
        <v>6.4100000000000004E-2</v>
      </c>
      <c r="G27" s="2">
        <f>RTD("wdf.rtq",,A27,"Change")</f>
        <v>2.64E-2</v>
      </c>
      <c r="H27" s="2">
        <f>RTD("wdf.rtq",,A27,"PctChg")</f>
        <v>70.59</v>
      </c>
      <c r="I27" s="2">
        <f>RTD("wdf.rtq",,A27,"Volume")</f>
        <v>6000</v>
      </c>
      <c r="J27" s="2">
        <f>RTD("wdf.rtq",,A27, "rt_oi","RT_Price")</f>
        <v>8141</v>
      </c>
      <c r="K27" s="2">
        <f>RTD("wdf.rtq",,A27,"ImpliedVol")</f>
        <v>0.40240000000000004</v>
      </c>
      <c r="L27" s="2">
        <f>RTD("wdf.rtq",,A27, "rt_miv","RT_Price")</f>
        <v>0.40050000000000002</v>
      </c>
      <c r="M27" s="2">
        <f>RTD("wdf.rtq",,A27,"Delta")</f>
        <v>0.20170000000000002</v>
      </c>
      <c r="N27" s="2">
        <f ca="1">RTD("wdf.rtq",,$A27,N$2)</f>
        <v>6.8500000000000005E-2</v>
      </c>
      <c r="O27" s="2">
        <f ca="1">RTD("wdf.rtq",,$A27,O$2)</f>
        <v>2.0000000000000001E-4</v>
      </c>
      <c r="P27" s="2">
        <f ca="1">RTD("wdf.rtq",,$A27,P$2)</f>
        <v>-3.0000000000000003E-4</v>
      </c>
      <c r="Q27" s="3">
        <f>[1]!w_info_ptmtradeday(A27,"")</f>
        <v>35</v>
      </c>
      <c r="R27" s="1" t="str">
        <f>[1]!w_info_callput(A27)</f>
        <v>认购</v>
      </c>
      <c r="S27" s="7">
        <f>[1]!s_info_margin(A27)</f>
        <v>3080.9</v>
      </c>
    </row>
    <row r="28" spans="1:19" x14ac:dyDescent="0.25">
      <c r="A28" s="6" t="s">
        <v>43</v>
      </c>
      <c r="B28" s="9">
        <f>[1]!w_info_strikeprice(A28,"")</f>
        <v>4.7</v>
      </c>
      <c r="C28" s="2">
        <f>RTD("wdf.rtq",,A28,"LastPrice")</f>
        <v>0.05</v>
      </c>
      <c r="D28" s="2">
        <f t="shared" si="0"/>
        <v>5.015E-2</v>
      </c>
      <c r="E28" s="2">
        <f>RTD("wdf.rtq",,A28,"Bid_Price1")</f>
        <v>0.05</v>
      </c>
      <c r="F28" s="2">
        <f>RTD("wdf.rtq",,A28,"Ask_Price1")</f>
        <v>5.0300000000000004E-2</v>
      </c>
      <c r="G28" s="2">
        <f>RTD("wdf.rtq",,A28,"Change")</f>
        <v>2.0400000000000001E-2</v>
      </c>
      <c r="H28" s="2">
        <f>RTD("wdf.rtq",,A28,"PctChg")</f>
        <v>68.92</v>
      </c>
      <c r="I28" s="2">
        <f>RTD("wdf.rtq",,A28,"Volume")</f>
        <v>8847</v>
      </c>
      <c r="J28" s="2">
        <f>RTD("wdf.rtq",,A28, "rt_oi","RT_Price")</f>
        <v>7990</v>
      </c>
      <c r="K28" s="2">
        <f>RTD("wdf.rtq",,A28,"ImpliedVol")</f>
        <v>0.40429999999999999</v>
      </c>
      <c r="L28" s="2">
        <f>RTD("wdf.rtq",,A28, "rt_miv","RT_Price")</f>
        <v>0.4042</v>
      </c>
      <c r="M28" s="2">
        <f>RTD("wdf.rtq",,A28,"Delta")</f>
        <v>0.16570000000000001</v>
      </c>
      <c r="N28" s="2">
        <f ca="1">RTD("wdf.rtq",,$A28,N$2)</f>
        <v>6.8500000000000005E-2</v>
      </c>
      <c r="O28" s="2">
        <f ca="1">RTD("wdf.rtq",,$A28,O$2)</f>
        <v>2.0000000000000001E-4</v>
      </c>
      <c r="P28" s="2">
        <f ca="1">RTD("wdf.rtq",,$A28,P$2)</f>
        <v>-3.0000000000000003E-4</v>
      </c>
      <c r="Q28" s="3">
        <f>[1]!w_info_ptmtradeday(A28,"")</f>
        <v>35</v>
      </c>
      <c r="R28" s="1" t="str">
        <f>[1]!w_info_callput(A28)</f>
        <v>认购</v>
      </c>
      <c r="S28" s="7">
        <f>[1]!s_info_margin(A28)</f>
        <v>3002.9</v>
      </c>
    </row>
    <row r="29" spans="1:19" x14ac:dyDescent="0.25">
      <c r="A29" s="6" t="s">
        <v>44</v>
      </c>
      <c r="B29" s="9">
        <f>[1]!w_info_strikeprice(A29,"")</f>
        <v>4.8</v>
      </c>
      <c r="C29" s="2">
        <f>RTD("wdf.rtq",,A29,"LastPrice")</f>
        <v>4.0300000000000002E-2</v>
      </c>
      <c r="D29" s="2">
        <f t="shared" si="0"/>
        <v>3.9850000000000003E-2</v>
      </c>
      <c r="E29" s="2">
        <f>RTD("wdf.rtq",,A29,"Bid_Price1")</f>
        <v>3.9400000000000004E-2</v>
      </c>
      <c r="F29" s="2">
        <f>RTD("wdf.rtq",,A29,"Ask_Price1")</f>
        <v>4.0300000000000002E-2</v>
      </c>
      <c r="G29" s="2">
        <f>RTD("wdf.rtq",,A29,"Change")</f>
        <v>1.6800000000000002E-2</v>
      </c>
      <c r="H29" s="2">
        <f>RTD("wdf.rtq",,A29,"PctChg")</f>
        <v>71.489999999999995</v>
      </c>
      <c r="I29" s="2">
        <f>RTD("wdf.rtq",,A29,"Volume")</f>
        <v>18692</v>
      </c>
      <c r="J29" s="2">
        <f>RTD("wdf.rtq",,A29, "rt_oi","RT_Price")</f>
        <v>18583</v>
      </c>
      <c r="K29" s="2">
        <f>RTD("wdf.rtq",,A29,"ImpliedVol")</f>
        <v>0.4103</v>
      </c>
      <c r="L29" s="2">
        <f>RTD("wdf.rtq",,A29, "rt_miv","RT_Price")</f>
        <v>0.40850000000000003</v>
      </c>
      <c r="M29" s="2">
        <f>RTD("wdf.rtq",,A29,"Delta")</f>
        <v>0.13750000000000001</v>
      </c>
      <c r="N29" s="2">
        <f ca="1">RTD("wdf.rtq",,$A29,N$2)</f>
        <v>6.8500000000000005E-2</v>
      </c>
      <c r="O29" s="2">
        <f ca="1">RTD("wdf.rtq",,$A29,O$2)</f>
        <v>2.0000000000000001E-4</v>
      </c>
      <c r="P29" s="2">
        <f ca="1">RTD("wdf.rtq",,$A29,P$2)</f>
        <v>-3.0000000000000003E-4</v>
      </c>
      <c r="Q29" s="3">
        <f>[1]!w_info_ptmtradeday(A29,"")</f>
        <v>35</v>
      </c>
      <c r="R29" s="1" t="str">
        <f>[1]!w_info_callput(A29)</f>
        <v>认购</v>
      </c>
      <c r="S29" s="7">
        <f>[1]!s_info_margin(A29)</f>
        <v>2941.9</v>
      </c>
    </row>
    <row r="30" spans="1:19" x14ac:dyDescent="0.25">
      <c r="A30" s="6" t="s">
        <v>45</v>
      </c>
      <c r="B30" s="9">
        <f>[1]!w_info_strikeprice(A30,"")</f>
        <v>2.85</v>
      </c>
      <c r="C30" s="2">
        <f>RTD("wdf.rtq",,A30,"LastPrice")</f>
        <v>1.1431</v>
      </c>
      <c r="D30" s="2">
        <f t="shared" si="0"/>
        <v>1.13825</v>
      </c>
      <c r="E30" s="2">
        <f>RTD("wdf.rtq",,A30,"Bid_Price1")</f>
        <v>1.1274999999999999</v>
      </c>
      <c r="F30" s="2">
        <f>RTD("wdf.rtq",,A30,"Ask_Price1")</f>
        <v>1.149</v>
      </c>
      <c r="G30" s="2">
        <f>RTD("wdf.rtq",,A30,"Change")</f>
        <v>0.1062</v>
      </c>
      <c r="H30" s="2">
        <f>RTD("wdf.rtq",,A30,"PctChg")</f>
        <v>10.24</v>
      </c>
      <c r="I30" s="2">
        <f>RTD("wdf.rtq",,A30,"Volume")</f>
        <v>57</v>
      </c>
      <c r="J30" s="2">
        <f>RTD("wdf.rtq",,A30, "rt_oi","RT_Price")</f>
        <v>715</v>
      </c>
      <c r="K30" s="2">
        <f>RTD("wdf.rtq",,A30,"ImpliedVol")</f>
        <v>0.44309999999999999</v>
      </c>
      <c r="L30" s="2">
        <f>RTD("wdf.rtq",,A30, "rt_miv","RT_Price")</f>
        <v>0.2908</v>
      </c>
      <c r="M30" s="2">
        <f>RTD("wdf.rtq",,A30,"Delta")</f>
        <v>0.95300000000000007</v>
      </c>
      <c r="N30" s="2">
        <f ca="1">RTD("wdf.rtq",,$A30,N$2)</f>
        <v>6.8500000000000005E-2</v>
      </c>
      <c r="O30" s="2">
        <f ca="1">RTD("wdf.rtq",,$A30,O$2)</f>
        <v>2.0000000000000001E-4</v>
      </c>
      <c r="P30" s="2">
        <f ca="1">RTD("wdf.rtq",,$A30,P$2)</f>
        <v>-3.0000000000000003E-4</v>
      </c>
      <c r="Q30" s="3">
        <f>[1]!w_info_ptmtradeday(A30,"")</f>
        <v>55</v>
      </c>
      <c r="R30" s="1" t="str">
        <f>[1]!w_info_callput(A30)</f>
        <v>认购</v>
      </c>
      <c r="S30" s="7">
        <f>[1]!s_info_margin(A30)</f>
        <v>15009.4</v>
      </c>
    </row>
    <row r="31" spans="1:19" x14ac:dyDescent="0.25">
      <c r="A31" s="6" t="s">
        <v>46</v>
      </c>
      <c r="B31" s="9">
        <f>[1]!w_info_strikeprice(A31,"")</f>
        <v>2.9</v>
      </c>
      <c r="C31" s="2">
        <f>RTD("wdf.rtq",,A31,"LastPrice")</f>
        <v>1.0979000000000001</v>
      </c>
      <c r="D31" s="2">
        <f t="shared" si="0"/>
        <v>1.0982500000000002</v>
      </c>
      <c r="E31" s="2">
        <f>RTD("wdf.rtq",,A31,"Bid_Price1")</f>
        <v>1.0804</v>
      </c>
      <c r="F31" s="2">
        <f>RTD("wdf.rtq",,A31,"Ask_Price1")</f>
        <v>1.1161000000000001</v>
      </c>
      <c r="G31" s="2">
        <f>RTD("wdf.rtq",,A31,"Change")</f>
        <v>0.10990000000000001</v>
      </c>
      <c r="H31" s="2">
        <f>RTD("wdf.rtq",,A31,"PctChg")</f>
        <v>11.120000000000001</v>
      </c>
      <c r="I31" s="2">
        <f>RTD("wdf.rtq",,A31,"Volume")</f>
        <v>41</v>
      </c>
      <c r="J31" s="2">
        <f>RTD("wdf.rtq",,A31, "rt_oi","RT_Price")</f>
        <v>1527</v>
      </c>
      <c r="K31" s="2">
        <f>RTD("wdf.rtq",,A31,"ImpliedVol")</f>
        <v>0.4234</v>
      </c>
      <c r="L31" s="2">
        <f>RTD("wdf.rtq",,A31, "rt_miv","RT_Price")</f>
        <v>0.39300000000000002</v>
      </c>
      <c r="M31" s="2">
        <f>RTD("wdf.rtq",,A31,"Delta")</f>
        <v>0.95190000000000008</v>
      </c>
      <c r="N31" s="2">
        <f ca="1">RTD("wdf.rtq",,$A31,N$2)</f>
        <v>6.8500000000000005E-2</v>
      </c>
      <c r="O31" s="2">
        <f ca="1">RTD("wdf.rtq",,$A31,O$2)</f>
        <v>2.0000000000000001E-4</v>
      </c>
      <c r="P31" s="2">
        <f ca="1">RTD("wdf.rtq",,$A31,P$2)</f>
        <v>-3.0000000000000003E-4</v>
      </c>
      <c r="Q31" s="3">
        <f>[1]!w_info_ptmtradeday(A31,"")</f>
        <v>55</v>
      </c>
      <c r="R31" s="1" t="str">
        <f>[1]!w_info_callput(A31)</f>
        <v>认购</v>
      </c>
      <c r="S31" s="7">
        <f>[1]!s_info_margin(A31)</f>
        <v>14520.4</v>
      </c>
    </row>
    <row r="32" spans="1:19" x14ac:dyDescent="0.25">
      <c r="A32" s="6" t="s">
        <v>47</v>
      </c>
      <c r="B32" s="9">
        <f>[1]!w_info_strikeprice(A32,"")</f>
        <v>2.95</v>
      </c>
      <c r="C32" s="2">
        <f>RTD("wdf.rtq",,A32,"LastPrice")</f>
        <v>0.94530000000000003</v>
      </c>
      <c r="D32" s="2">
        <f t="shared" si="0"/>
        <v>1.0526500000000001</v>
      </c>
      <c r="E32" s="2">
        <f>RTD("wdf.rtq",,A32,"Bid_Price1")</f>
        <v>1.0351000000000001</v>
      </c>
      <c r="F32" s="2">
        <f>RTD("wdf.rtq",,A32,"Ask_Price1")</f>
        <v>1.0702</v>
      </c>
      <c r="G32" s="2">
        <f>RTD("wdf.rtq",,A32,"Change")</f>
        <v>5.8999999999999999E-3</v>
      </c>
      <c r="H32" s="2">
        <f>RTD("wdf.rtq",,A32,"PctChg")</f>
        <v>0.63</v>
      </c>
      <c r="I32" s="2">
        <f>RTD("wdf.rtq",,A32,"Volume")</f>
        <v>15</v>
      </c>
      <c r="J32" s="2">
        <f>RTD("wdf.rtq",,A32, "rt_oi","RT_Price")</f>
        <v>1498</v>
      </c>
      <c r="K32" s="2">
        <f>RTD("wdf.rtq",,A32,"ImpliedVol")</f>
        <v>0.4098</v>
      </c>
      <c r="L32" s="2">
        <f>RTD("wdf.rtq",,A32, "rt_miv","RT_Price")</f>
        <v>0.40100000000000002</v>
      </c>
      <c r="M32" s="2">
        <f>RTD("wdf.rtq",,A32,"Delta")</f>
        <v>0.93080000000000007</v>
      </c>
      <c r="N32" s="2">
        <f ca="1">RTD("wdf.rtq",,$A32,N$2)</f>
        <v>6.8500000000000005E-2</v>
      </c>
      <c r="O32" s="2">
        <f ca="1">RTD("wdf.rtq",,$A32,O$2)</f>
        <v>2.0000000000000001E-4</v>
      </c>
      <c r="P32" s="2">
        <f ca="1">RTD("wdf.rtq",,$A32,P$2)</f>
        <v>-3.0000000000000003E-4</v>
      </c>
      <c r="Q32" s="3">
        <f>[1]!w_info_ptmtradeday(A32,"")</f>
        <v>55</v>
      </c>
      <c r="R32" s="1" t="str">
        <f>[1]!w_info_callput(A32)</f>
        <v>认购</v>
      </c>
      <c r="S32" s="7">
        <f>[1]!s_info_margin(A32)</f>
        <v>14034.4</v>
      </c>
    </row>
    <row r="33" spans="1:19" x14ac:dyDescent="0.25">
      <c r="A33" s="6" t="s">
        <v>48</v>
      </c>
      <c r="B33" s="9">
        <f>[1]!w_info_strikeprice(A33,"")</f>
        <v>3</v>
      </c>
      <c r="C33" s="2">
        <f>RTD("wdf.rtq",,A33,"LastPrice")</f>
        <v>0.97970000000000002</v>
      </c>
      <c r="D33" s="2">
        <f t="shared" si="0"/>
        <v>1.0068999999999999</v>
      </c>
      <c r="E33" s="2">
        <f>RTD("wdf.rtq",,A33,"Bid_Price1")</f>
        <v>0.98960000000000004</v>
      </c>
      <c r="F33" s="2">
        <f>RTD("wdf.rtq",,A33,"Ask_Price1")</f>
        <v>1.0242</v>
      </c>
      <c r="G33" s="2">
        <f>RTD("wdf.rtq",,A33,"Change")</f>
        <v>8.8599999999999998E-2</v>
      </c>
      <c r="H33" s="2">
        <f>RTD("wdf.rtq",,A33,"PctChg")</f>
        <v>9.94</v>
      </c>
      <c r="I33" s="2">
        <f>RTD("wdf.rtq",,A33,"Volume")</f>
        <v>249</v>
      </c>
      <c r="J33" s="2">
        <f>RTD("wdf.rtq",,A33, "rt_oi","RT_Price")</f>
        <v>2834</v>
      </c>
      <c r="K33" s="2">
        <f>RTD("wdf.rtq",,A33,"ImpliedVol")</f>
        <v>0.42100000000000004</v>
      </c>
      <c r="L33" s="2">
        <f>RTD("wdf.rtq",,A33, "rt_miv","RT_Price")</f>
        <v>0.40340000000000004</v>
      </c>
      <c r="M33" s="2">
        <f>RTD("wdf.rtq",,A33,"Delta")</f>
        <v>0.92930000000000001</v>
      </c>
      <c r="N33" s="2">
        <f ca="1">RTD("wdf.rtq",,$A33,N$2)</f>
        <v>6.8500000000000005E-2</v>
      </c>
      <c r="O33" s="2">
        <f ca="1">RTD("wdf.rtq",,$A33,O$2)</f>
        <v>2.0000000000000001E-4</v>
      </c>
      <c r="P33" s="2">
        <f ca="1">RTD("wdf.rtq",,$A33,P$2)</f>
        <v>-3.0000000000000003E-4</v>
      </c>
      <c r="Q33" s="3">
        <f>[1]!w_info_ptmtradeday(A33,"")</f>
        <v>55</v>
      </c>
      <c r="R33" s="1" t="str">
        <f>[1]!w_info_callput(A33)</f>
        <v>认购</v>
      </c>
      <c r="S33" s="7">
        <f>[1]!s_info_margin(A33)</f>
        <v>13551.4</v>
      </c>
    </row>
    <row r="34" spans="1:19" x14ac:dyDescent="0.25">
      <c r="A34" s="6" t="s">
        <v>49</v>
      </c>
      <c r="B34" s="9">
        <f>[1]!w_info_strikeprice(A34,"")</f>
        <v>3.1</v>
      </c>
      <c r="C34" s="2">
        <f>RTD("wdf.rtq",,A34,"LastPrice")</f>
        <v>0.9123</v>
      </c>
      <c r="D34" s="2">
        <f t="shared" si="0"/>
        <v>0.92220000000000002</v>
      </c>
      <c r="E34" s="2">
        <f>RTD("wdf.rtq",,A34,"Bid_Price1")</f>
        <v>0.91439999999999999</v>
      </c>
      <c r="F34" s="2">
        <f>RTD("wdf.rtq",,A34,"Ask_Price1")</f>
        <v>0.93</v>
      </c>
      <c r="G34" s="2">
        <f>RTD("wdf.rtq",,A34,"Change")</f>
        <v>0.1163</v>
      </c>
      <c r="H34" s="2">
        <f>RTD("wdf.rtq",,A34,"PctChg")</f>
        <v>14.610000000000001</v>
      </c>
      <c r="I34" s="2">
        <f>RTD("wdf.rtq",,A34,"Volume")</f>
        <v>163</v>
      </c>
      <c r="J34" s="2">
        <f>RTD("wdf.rtq",,A34, "rt_oi","RT_Price")</f>
        <v>919</v>
      </c>
      <c r="K34" s="2">
        <f>RTD("wdf.rtq",,A34,"ImpliedVol")</f>
        <v>0.41440000000000005</v>
      </c>
      <c r="L34" s="2">
        <f>RTD("wdf.rtq",,A34, "rt_miv","RT_Price")</f>
        <v>0.42310000000000003</v>
      </c>
      <c r="M34" s="2">
        <f>RTD("wdf.rtq",,A34,"Delta")</f>
        <v>0.91339999999999999</v>
      </c>
      <c r="N34" s="2">
        <f ca="1">RTD("wdf.rtq",,$A34,N$2)</f>
        <v>6.8500000000000005E-2</v>
      </c>
      <c r="O34" s="2">
        <f ca="1">RTD("wdf.rtq",,$A34,O$2)</f>
        <v>2.0000000000000001E-4</v>
      </c>
      <c r="P34" s="2">
        <f ca="1">RTD("wdf.rtq",,$A34,P$2)</f>
        <v>-3.0000000000000003E-4</v>
      </c>
      <c r="Q34" s="3">
        <f>[1]!w_info_ptmtradeday(A34,"")</f>
        <v>55</v>
      </c>
      <c r="R34" s="1" t="str">
        <f>[1]!w_info_callput(A34)</f>
        <v>认购</v>
      </c>
      <c r="S34" s="7">
        <f>[1]!s_info_margin(A34)</f>
        <v>12600.4</v>
      </c>
    </row>
    <row r="35" spans="1:19" x14ac:dyDescent="0.25">
      <c r="A35" s="6" t="s">
        <v>50</v>
      </c>
      <c r="B35" s="9">
        <f>[1]!w_info_strikeprice(A35,"")</f>
        <v>3.2</v>
      </c>
      <c r="C35" s="2">
        <f>RTD("wdf.rtq",,A35,"LastPrice")</f>
        <v>0.81380000000000008</v>
      </c>
      <c r="D35" s="2">
        <f t="shared" si="0"/>
        <v>0.82384999999999997</v>
      </c>
      <c r="E35" s="2">
        <f>RTD("wdf.rtq",,A35,"Bid_Price1")</f>
        <v>0.81110000000000004</v>
      </c>
      <c r="F35" s="2">
        <f>RTD("wdf.rtq",,A35,"Ask_Price1")</f>
        <v>0.83660000000000001</v>
      </c>
      <c r="G35" s="2">
        <f>RTD("wdf.rtq",,A35,"Change")</f>
        <v>0.11020000000000001</v>
      </c>
      <c r="H35" s="2">
        <f>RTD("wdf.rtq",,A35,"PctChg")</f>
        <v>15.660000000000002</v>
      </c>
      <c r="I35" s="2">
        <f>RTD("wdf.rtq",,A35,"Volume")</f>
        <v>85</v>
      </c>
      <c r="J35" s="2">
        <f>RTD("wdf.rtq",,A35, "rt_oi","RT_Price")</f>
        <v>771</v>
      </c>
      <c r="K35" s="2">
        <f>RTD("wdf.rtq",,A35,"ImpliedVol")</f>
        <v>0.40390000000000004</v>
      </c>
      <c r="L35" s="2">
        <f>RTD("wdf.rtq",,A35, "rt_miv","RT_Price")</f>
        <v>0.3866</v>
      </c>
      <c r="M35" s="2">
        <f>RTD("wdf.rtq",,A35,"Delta")</f>
        <v>0.88790000000000002</v>
      </c>
      <c r="N35" s="2">
        <f ca="1">RTD("wdf.rtq",,$A35,N$2)</f>
        <v>6.8500000000000005E-2</v>
      </c>
      <c r="O35" s="2">
        <f ca="1">RTD("wdf.rtq",,$A35,O$2)</f>
        <v>2.0000000000000001E-4</v>
      </c>
      <c r="P35" s="2">
        <f ca="1">RTD("wdf.rtq",,$A35,P$2)</f>
        <v>-3.0000000000000003E-4</v>
      </c>
      <c r="Q35" s="3">
        <f>[1]!w_info_ptmtradeday(A35,"")</f>
        <v>55</v>
      </c>
      <c r="R35" s="1" t="str">
        <f>[1]!w_info_callput(A35)</f>
        <v>认购</v>
      </c>
      <c r="S35" s="7">
        <f>[1]!s_info_margin(A35)</f>
        <v>11676.4</v>
      </c>
    </row>
    <row r="36" spans="1:19" x14ac:dyDescent="0.25">
      <c r="A36" s="6" t="s">
        <v>51</v>
      </c>
      <c r="B36" s="9">
        <f>[1]!w_info_strikeprice(A36,"")</f>
        <v>3.3</v>
      </c>
      <c r="C36" s="2">
        <f>RTD("wdf.rtq",,A36,"LastPrice")</f>
        <v>0.74299999999999999</v>
      </c>
      <c r="D36" s="2">
        <f t="shared" si="0"/>
        <v>0.74025000000000007</v>
      </c>
      <c r="E36" s="2">
        <f>RTD("wdf.rtq",,A36,"Bid_Price1")</f>
        <v>0.73</v>
      </c>
      <c r="F36" s="2">
        <f>RTD("wdf.rtq",,A36,"Ask_Price1")</f>
        <v>0.75050000000000006</v>
      </c>
      <c r="G36" s="2">
        <f>RTD("wdf.rtq",,A36,"Change")</f>
        <v>0.14430000000000001</v>
      </c>
      <c r="H36" s="2">
        <f>RTD("wdf.rtq",,A36,"PctChg")</f>
        <v>24.1</v>
      </c>
      <c r="I36" s="2">
        <f>RTD("wdf.rtq",,A36,"Volume")</f>
        <v>231</v>
      </c>
      <c r="J36" s="2">
        <f>RTD("wdf.rtq",,A36, "rt_oi","RT_Price")</f>
        <v>1895</v>
      </c>
      <c r="K36" s="2">
        <f>RTD("wdf.rtq",,A36,"ImpliedVol")</f>
        <v>0.41070000000000001</v>
      </c>
      <c r="L36" s="2">
        <f>RTD("wdf.rtq",,A36, "rt_miv","RT_Price")</f>
        <v>0.38930000000000003</v>
      </c>
      <c r="M36" s="2">
        <f>RTD("wdf.rtq",,A36,"Delta")</f>
        <v>0.85489999999999999</v>
      </c>
      <c r="N36" s="2">
        <f ca="1">RTD("wdf.rtq",,$A36,N$2)</f>
        <v>6.8500000000000005E-2</v>
      </c>
      <c r="O36" s="2">
        <f ca="1">RTD("wdf.rtq",,$A36,O$2)</f>
        <v>2.0000000000000001E-4</v>
      </c>
      <c r="P36" s="2">
        <f ca="1">RTD("wdf.rtq",,$A36,P$2)</f>
        <v>-3.0000000000000003E-4</v>
      </c>
      <c r="Q36" s="3">
        <f>[1]!w_info_ptmtradeday(A36,"")</f>
        <v>55</v>
      </c>
      <c r="R36" s="1" t="str">
        <f>[1]!w_info_callput(A36)</f>
        <v>认购</v>
      </c>
      <c r="S36" s="7">
        <f>[1]!s_info_margin(A36)</f>
        <v>10627.4</v>
      </c>
    </row>
    <row r="37" spans="1:19" x14ac:dyDescent="0.25">
      <c r="A37" s="6" t="s">
        <v>52</v>
      </c>
      <c r="B37" s="9">
        <f>[1]!w_info_strikeprice(A37,"")</f>
        <v>3.4</v>
      </c>
      <c r="C37" s="2">
        <f>RTD("wdf.rtq",,A37,"LastPrice")</f>
        <v>0.66</v>
      </c>
      <c r="D37" s="2">
        <f t="shared" si="0"/>
        <v>0.66755000000000009</v>
      </c>
      <c r="E37" s="2">
        <f>RTD("wdf.rtq",,A37,"Bid_Price1")</f>
        <v>0.66</v>
      </c>
      <c r="F37" s="2">
        <f>RTD("wdf.rtq",,A37,"Ask_Price1")</f>
        <v>0.67510000000000003</v>
      </c>
      <c r="G37" s="2">
        <f>RTD("wdf.rtq",,A37,"Change")</f>
        <v>0.14000000000000001</v>
      </c>
      <c r="H37" s="2">
        <f>RTD("wdf.rtq",,A37,"PctChg")</f>
        <v>26.919999999999998</v>
      </c>
      <c r="I37" s="2">
        <f>RTD("wdf.rtq",,A37,"Volume")</f>
        <v>408</v>
      </c>
      <c r="J37" s="2">
        <f>RTD("wdf.rtq",,A37, "rt_oi","RT_Price")</f>
        <v>977</v>
      </c>
      <c r="K37" s="2">
        <f>RTD("wdf.rtq",,A37,"ImpliedVol")</f>
        <v>0.3952</v>
      </c>
      <c r="L37" s="2">
        <f>RTD("wdf.rtq",,A37, "rt_miv","RT_Price")</f>
        <v>0.40500000000000003</v>
      </c>
      <c r="M37" s="2">
        <f>RTD("wdf.rtq",,A37,"Delta")</f>
        <v>0.82580000000000009</v>
      </c>
      <c r="N37" s="2">
        <f ca="1">RTD("wdf.rtq",,$A37,N$2)</f>
        <v>6.8500000000000005E-2</v>
      </c>
      <c r="O37" s="2">
        <f ca="1">RTD("wdf.rtq",,$A37,O$2)</f>
        <v>2.0000000000000001E-4</v>
      </c>
      <c r="P37" s="2">
        <f ca="1">RTD("wdf.rtq",,$A37,P$2)</f>
        <v>-3.0000000000000003E-4</v>
      </c>
      <c r="Q37" s="3">
        <f>[1]!w_info_ptmtradeday(A37,"")</f>
        <v>55</v>
      </c>
      <c r="R37" s="1" t="str">
        <f>[1]!w_info_callput(A37)</f>
        <v>认购</v>
      </c>
      <c r="S37" s="7">
        <f>[1]!s_info_margin(A37)</f>
        <v>9840.4</v>
      </c>
    </row>
    <row r="38" spans="1:19" x14ac:dyDescent="0.25">
      <c r="A38" s="6" t="s">
        <v>53</v>
      </c>
      <c r="B38" s="9">
        <f>[1]!w_info_strikeprice(A38,"")</f>
        <v>3.5</v>
      </c>
      <c r="C38" s="2">
        <f>RTD("wdf.rtq",,A38,"LastPrice")</f>
        <v>0.56690000000000007</v>
      </c>
      <c r="D38" s="2">
        <f t="shared" si="0"/>
        <v>0.58390000000000009</v>
      </c>
      <c r="E38" s="2">
        <f>RTD("wdf.rtq",,A38,"Bid_Price1")</f>
        <v>0.57040000000000002</v>
      </c>
      <c r="F38" s="2">
        <f>RTD("wdf.rtq",,A38,"Ask_Price1")</f>
        <v>0.59740000000000004</v>
      </c>
      <c r="G38" s="2">
        <f>RTD("wdf.rtq",,A38,"Change")</f>
        <v>0.11520000000000001</v>
      </c>
      <c r="H38" s="2">
        <f>RTD("wdf.rtq",,A38,"PctChg")</f>
        <v>25.5</v>
      </c>
      <c r="I38" s="2">
        <f>RTD("wdf.rtq",,A38,"Volume")</f>
        <v>142</v>
      </c>
      <c r="J38" s="2">
        <f>RTD("wdf.rtq",,A38, "rt_oi","RT_Price")</f>
        <v>1806</v>
      </c>
      <c r="K38" s="2">
        <f>RTD("wdf.rtq",,A38,"ImpliedVol")</f>
        <v>0.39250000000000002</v>
      </c>
      <c r="L38" s="2">
        <f>RTD("wdf.rtq",,A38, "rt_miv","RT_Price")</f>
        <v>0.38830000000000003</v>
      </c>
      <c r="M38" s="2">
        <f>RTD("wdf.rtq",,A38,"Delta")</f>
        <v>0.77590000000000003</v>
      </c>
      <c r="N38" s="2">
        <f ca="1">RTD("wdf.rtq",,$A38,N$2)</f>
        <v>6.8500000000000005E-2</v>
      </c>
      <c r="O38" s="2">
        <f ca="1">RTD("wdf.rtq",,$A38,O$2)</f>
        <v>2.0000000000000001E-4</v>
      </c>
      <c r="P38" s="2">
        <f ca="1">RTD("wdf.rtq",,$A38,P$2)</f>
        <v>-3.0000000000000003E-4</v>
      </c>
      <c r="Q38" s="3">
        <f>[1]!w_info_ptmtradeday(A38,"")</f>
        <v>55</v>
      </c>
      <c r="R38" s="1" t="str">
        <f>[1]!w_info_callput(A38)</f>
        <v>认购</v>
      </c>
      <c r="S38" s="7">
        <f>[1]!s_info_margin(A38)</f>
        <v>9157.4</v>
      </c>
    </row>
    <row r="39" spans="1:19" x14ac:dyDescent="0.25">
      <c r="A39" s="6" t="s">
        <v>54</v>
      </c>
      <c r="B39" s="9">
        <f>[1]!w_info_strikeprice(A39,"")</f>
        <v>3.6</v>
      </c>
      <c r="C39" s="2">
        <f>RTD("wdf.rtq",,A39,"LastPrice")</f>
        <v>0.50160000000000005</v>
      </c>
      <c r="D39" s="2">
        <f t="shared" si="0"/>
        <v>0.51275000000000004</v>
      </c>
      <c r="E39" s="2">
        <f>RTD("wdf.rtq",,A39,"Bid_Price1")</f>
        <v>0.50019999999999998</v>
      </c>
      <c r="F39" s="2">
        <f>RTD("wdf.rtq",,A39,"Ask_Price1")</f>
        <v>0.52529999999999999</v>
      </c>
      <c r="G39" s="2">
        <f>RTD("wdf.rtq",,A39,"Change")</f>
        <v>0.1173</v>
      </c>
      <c r="H39" s="2">
        <f>RTD("wdf.rtq",,A39,"PctChg")</f>
        <v>30.520000000000003</v>
      </c>
      <c r="I39" s="2">
        <f>RTD("wdf.rtq",,A39,"Volume")</f>
        <v>233</v>
      </c>
      <c r="J39" s="2">
        <f>RTD("wdf.rtq",,A39, "rt_oi","RT_Price")</f>
        <v>3095</v>
      </c>
      <c r="K39" s="2">
        <f>RTD("wdf.rtq",,A39,"ImpliedVol")</f>
        <v>0.39019999999999999</v>
      </c>
      <c r="L39" s="2">
        <f>RTD("wdf.rtq",,A39, "rt_miv","RT_Price")</f>
        <v>0.38730000000000003</v>
      </c>
      <c r="M39" s="2">
        <f>RTD("wdf.rtq",,A39,"Delta")</f>
        <v>0.73240000000000005</v>
      </c>
      <c r="N39" s="2">
        <f ca="1">RTD("wdf.rtq",,$A39,N$2)</f>
        <v>6.8500000000000005E-2</v>
      </c>
      <c r="O39" s="2">
        <f ca="1">RTD("wdf.rtq",,$A39,O$2)</f>
        <v>2.0000000000000001E-4</v>
      </c>
      <c r="P39" s="2">
        <f ca="1">RTD("wdf.rtq",,$A39,P$2)</f>
        <v>-3.0000000000000003E-4</v>
      </c>
      <c r="Q39" s="3">
        <f>[1]!w_info_ptmtradeday(A39,"")</f>
        <v>55</v>
      </c>
      <c r="R39" s="1" t="str">
        <f>[1]!w_info_callput(A39)</f>
        <v>认购</v>
      </c>
      <c r="S39" s="7">
        <f>[1]!s_info_margin(A39)</f>
        <v>8483.4</v>
      </c>
    </row>
    <row r="40" spans="1:19" x14ac:dyDescent="0.25">
      <c r="A40" s="6" t="s">
        <v>55</v>
      </c>
      <c r="B40" s="9">
        <f>[1]!w_info_strikeprice(A40,"")</f>
        <v>3.7</v>
      </c>
      <c r="C40" s="2">
        <f>RTD("wdf.rtq",,A40,"LastPrice")</f>
        <v>0.44</v>
      </c>
      <c r="D40" s="2">
        <f t="shared" si="0"/>
        <v>0.44380000000000003</v>
      </c>
      <c r="E40" s="2">
        <f>RTD("wdf.rtq",,A40,"Bid_Price1")</f>
        <v>0.43560000000000004</v>
      </c>
      <c r="F40" s="2">
        <f>RTD("wdf.rtq",,A40,"Ask_Price1")</f>
        <v>0.45200000000000001</v>
      </c>
      <c r="G40" s="2">
        <f>RTD("wdf.rtq",,A40,"Change")</f>
        <v>0.11</v>
      </c>
      <c r="H40" s="2">
        <f>RTD("wdf.rtq",,A40,"PctChg")</f>
        <v>33.330000000000005</v>
      </c>
      <c r="I40" s="2">
        <f>RTD("wdf.rtq",,A40,"Volume")</f>
        <v>778</v>
      </c>
      <c r="J40" s="2">
        <f>RTD("wdf.rtq",,A40, "rt_oi","RT_Price")</f>
        <v>3669</v>
      </c>
      <c r="K40" s="2">
        <f>RTD("wdf.rtq",,A40,"ImpliedVol")</f>
        <v>0.3876</v>
      </c>
      <c r="L40" s="2">
        <f>RTD("wdf.rtq",,A40, "rt_miv","RT_Price")</f>
        <v>0.38159999999999999</v>
      </c>
      <c r="M40" s="2">
        <f>RTD("wdf.rtq",,A40,"Delta")</f>
        <v>0.6855</v>
      </c>
      <c r="N40" s="2">
        <f ca="1">RTD("wdf.rtq",,$A40,N$2)</f>
        <v>6.8500000000000005E-2</v>
      </c>
      <c r="O40" s="2">
        <f ca="1">RTD("wdf.rtq",,$A40,O$2)</f>
        <v>2.0000000000000001E-4</v>
      </c>
      <c r="P40" s="2">
        <f ca="1">RTD("wdf.rtq",,$A40,P$2)</f>
        <v>-3.0000000000000003E-4</v>
      </c>
      <c r="Q40" s="3">
        <f>[1]!w_info_ptmtradeday(A40,"")</f>
        <v>55</v>
      </c>
      <c r="R40" s="1" t="str">
        <f>[1]!w_info_callput(A40)</f>
        <v>认购</v>
      </c>
      <c r="S40" s="7">
        <f>[1]!s_info_margin(A40)</f>
        <v>7940.4</v>
      </c>
    </row>
    <row r="41" spans="1:19" x14ac:dyDescent="0.25">
      <c r="A41" s="6" t="s">
        <v>56</v>
      </c>
      <c r="B41" s="9">
        <f>[1]!w_info_strikeprice(A41,"")</f>
        <v>3.8</v>
      </c>
      <c r="C41" s="2">
        <f>RTD("wdf.rtq",,A41,"LastPrice")</f>
        <v>0.38440000000000002</v>
      </c>
      <c r="D41" s="2">
        <f t="shared" si="0"/>
        <v>0.38850000000000007</v>
      </c>
      <c r="E41" s="2">
        <f>RTD("wdf.rtq",,A41,"Bid_Price1")</f>
        <v>0.38070000000000004</v>
      </c>
      <c r="F41" s="2">
        <f>RTD("wdf.rtq",,A41,"Ask_Price1")</f>
        <v>0.39630000000000004</v>
      </c>
      <c r="G41" s="2">
        <f>RTD("wdf.rtq",,A41,"Change")</f>
        <v>0.1071</v>
      </c>
      <c r="H41" s="2">
        <f>RTD("wdf.rtq",,A41,"PctChg")</f>
        <v>38.620000000000005</v>
      </c>
      <c r="I41" s="2">
        <f>RTD("wdf.rtq",,A41,"Volume")</f>
        <v>1019</v>
      </c>
      <c r="J41" s="2">
        <f>RTD("wdf.rtq",,A41, "rt_oi","RT_Price")</f>
        <v>4957</v>
      </c>
      <c r="K41" s="2">
        <f>RTD("wdf.rtq",,A41,"ImpliedVol")</f>
        <v>0.38550000000000001</v>
      </c>
      <c r="L41" s="2">
        <f>RTD("wdf.rtq",,A41, "rt_miv","RT_Price")</f>
        <v>0.3881</v>
      </c>
      <c r="M41" s="2">
        <f>RTD("wdf.rtq",,A41,"Delta")</f>
        <v>0.63670000000000004</v>
      </c>
      <c r="N41" s="2">
        <f ca="1">RTD("wdf.rtq",,$A41,N$2)</f>
        <v>6.8500000000000005E-2</v>
      </c>
      <c r="O41" s="2">
        <f ca="1">RTD("wdf.rtq",,$A41,O$2)</f>
        <v>2.0000000000000001E-4</v>
      </c>
      <c r="P41" s="2">
        <f ca="1">RTD("wdf.rtq",,$A41,P$2)</f>
        <v>-3.0000000000000003E-4</v>
      </c>
      <c r="Q41" s="3">
        <f>[1]!w_info_ptmtradeday(A41,"")</f>
        <v>55</v>
      </c>
      <c r="R41" s="1" t="str">
        <f>[1]!w_info_callput(A41)</f>
        <v>认购</v>
      </c>
      <c r="S41" s="7">
        <f>[1]!s_info_margin(A41)</f>
        <v>7413.4</v>
      </c>
    </row>
    <row r="42" spans="1:19" x14ac:dyDescent="0.25">
      <c r="A42" s="6" t="s">
        <v>57</v>
      </c>
      <c r="B42" s="9">
        <f>[1]!w_info_strikeprice(A42,"")</f>
        <v>3.9</v>
      </c>
      <c r="C42" s="2">
        <f>RTD("wdf.rtq",,A42,"LastPrice")</f>
        <v>0.33290000000000003</v>
      </c>
      <c r="D42" s="2">
        <f t="shared" si="0"/>
        <v>0.32835000000000003</v>
      </c>
      <c r="E42" s="2">
        <f>RTD("wdf.rtq",,A42,"Bid_Price1")</f>
        <v>0.32380000000000003</v>
      </c>
      <c r="F42" s="2">
        <f>RTD("wdf.rtq",,A42,"Ask_Price1")</f>
        <v>0.33290000000000003</v>
      </c>
      <c r="G42" s="2">
        <f>RTD("wdf.rtq",,A42,"Change")</f>
        <v>9.8400000000000001E-2</v>
      </c>
      <c r="H42" s="2">
        <f>RTD("wdf.rtq",,A42,"PctChg")</f>
        <v>41.96</v>
      </c>
      <c r="I42" s="2">
        <f>RTD("wdf.rtq",,A42,"Volume")</f>
        <v>6118</v>
      </c>
      <c r="J42" s="2">
        <f>RTD("wdf.rtq",,A42, "rt_oi","RT_Price")</f>
        <v>14666</v>
      </c>
      <c r="K42" s="2">
        <f>RTD("wdf.rtq",,A42,"ImpliedVol")</f>
        <v>0.38880000000000003</v>
      </c>
      <c r="L42" s="2">
        <f>RTD("wdf.rtq",,A42, "rt_miv","RT_Price")</f>
        <v>0.37970000000000004</v>
      </c>
      <c r="M42" s="2">
        <f>RTD("wdf.rtq",,A42,"Delta")</f>
        <v>0.58210000000000006</v>
      </c>
      <c r="N42" s="2">
        <f ca="1">RTD("wdf.rtq",,$A42,N$2)</f>
        <v>6.8500000000000005E-2</v>
      </c>
      <c r="O42" s="2">
        <f ca="1">RTD("wdf.rtq",,$A42,O$2)</f>
        <v>2.0000000000000001E-4</v>
      </c>
      <c r="P42" s="2">
        <f ca="1">RTD("wdf.rtq",,$A42,P$2)</f>
        <v>-3.0000000000000003E-4</v>
      </c>
      <c r="Q42" s="3">
        <f>[1]!w_info_ptmtradeday(A42,"")</f>
        <v>55</v>
      </c>
      <c r="R42" s="1" t="str">
        <f>[1]!w_info_callput(A42)</f>
        <v>认购</v>
      </c>
      <c r="S42" s="7">
        <f>[1]!s_info_margin(A42)</f>
        <v>6655.4</v>
      </c>
    </row>
    <row r="43" spans="1:19" x14ac:dyDescent="0.25">
      <c r="A43" s="6" t="s">
        <v>58</v>
      </c>
      <c r="B43" s="9">
        <f>[1]!w_info_strikeprice(A43,"")</f>
        <v>4</v>
      </c>
      <c r="C43" s="2">
        <f>RTD("wdf.rtq",,A43,"LastPrice")</f>
        <v>0.28539999999999999</v>
      </c>
      <c r="D43" s="2">
        <f t="shared" si="0"/>
        <v>0.28600000000000003</v>
      </c>
      <c r="E43" s="2">
        <f>RTD("wdf.rtq",,A43,"Bid_Price1")</f>
        <v>0.28520000000000001</v>
      </c>
      <c r="F43" s="2">
        <f>RTD("wdf.rtq",,A43,"Ask_Price1")</f>
        <v>0.2868</v>
      </c>
      <c r="G43" s="2">
        <f>RTD("wdf.rtq",,A43,"Change")</f>
        <v>8.72E-2</v>
      </c>
      <c r="H43" s="2">
        <f>RTD("wdf.rtq",,A43,"PctChg")</f>
        <v>44</v>
      </c>
      <c r="I43" s="2">
        <f>RTD("wdf.rtq",,A43,"Volume")</f>
        <v>5765</v>
      </c>
      <c r="J43" s="2">
        <f>RTD("wdf.rtq",,A43, "rt_oi","RT_Price")</f>
        <v>7975</v>
      </c>
      <c r="K43" s="2">
        <f>RTD("wdf.rtq",,A43,"ImpliedVol")</f>
        <v>0.38980000000000004</v>
      </c>
      <c r="L43" s="2">
        <f>RTD("wdf.rtq",,A43, "rt_miv","RT_Price")</f>
        <v>0.38800000000000001</v>
      </c>
      <c r="M43" s="2">
        <f>RTD("wdf.rtq",,A43,"Delta")</f>
        <v>0.52770000000000006</v>
      </c>
      <c r="N43" s="2">
        <f ca="1">RTD("wdf.rtq",,$A43,N$2)</f>
        <v>6.8500000000000005E-2</v>
      </c>
      <c r="O43" s="2">
        <f ca="1">RTD("wdf.rtq",,$A43,O$2)</f>
        <v>2.0000000000000001E-4</v>
      </c>
      <c r="P43" s="2">
        <f ca="1">RTD("wdf.rtq",,$A43,P$2)</f>
        <v>-3.0000000000000003E-4</v>
      </c>
      <c r="Q43" s="3">
        <f>[1]!w_info_ptmtradeday(A43,"")</f>
        <v>55</v>
      </c>
      <c r="R43" s="1" t="str">
        <f>[1]!w_info_callput(A43)</f>
        <v>认购</v>
      </c>
      <c r="S43" s="7">
        <f>[1]!s_info_margin(A43)</f>
        <v>5292.4</v>
      </c>
    </row>
    <row r="44" spans="1:19" x14ac:dyDescent="0.25">
      <c r="A44" s="6" t="s">
        <v>59</v>
      </c>
      <c r="B44" s="9">
        <f>[1]!w_info_strikeprice(A44,"")</f>
        <v>4.0999999999999996</v>
      </c>
      <c r="C44" s="2">
        <f>RTD("wdf.rtq",,A44,"LastPrice")</f>
        <v>0.24430000000000002</v>
      </c>
      <c r="D44" s="2">
        <f t="shared" si="0"/>
        <v>0.2465</v>
      </c>
      <c r="E44" s="2">
        <f>RTD("wdf.rtq",,A44,"Bid_Price1")</f>
        <v>0.24350000000000002</v>
      </c>
      <c r="F44" s="2">
        <f>RTD("wdf.rtq",,A44,"Ask_Price1")</f>
        <v>0.2495</v>
      </c>
      <c r="G44" s="2">
        <f>RTD("wdf.rtq",,A44,"Change")</f>
        <v>8.0100000000000005E-2</v>
      </c>
      <c r="H44" s="2">
        <f>RTD("wdf.rtq",,A44,"PctChg")</f>
        <v>48.78</v>
      </c>
      <c r="I44" s="2">
        <f>RTD("wdf.rtq",,A44,"Volume")</f>
        <v>5761</v>
      </c>
      <c r="J44" s="2">
        <f>RTD("wdf.rtq",,A44, "rt_oi","RT_Price")</f>
        <v>8925</v>
      </c>
      <c r="K44" s="2">
        <f>RTD("wdf.rtq",,A44,"ImpliedVol")</f>
        <v>0.39190000000000003</v>
      </c>
      <c r="L44" s="2">
        <f>RTD("wdf.rtq",,A44, "rt_miv","RT_Price")</f>
        <v>0.39269999999999999</v>
      </c>
      <c r="M44" s="2">
        <f>RTD("wdf.rtq",,A44,"Delta")</f>
        <v>0.4743</v>
      </c>
      <c r="N44" s="2">
        <f ca="1">RTD("wdf.rtq",,$A44,N$2)</f>
        <v>6.8500000000000005E-2</v>
      </c>
      <c r="O44" s="2">
        <f ca="1">RTD("wdf.rtq",,$A44,O$2)</f>
        <v>2.0000000000000001E-4</v>
      </c>
      <c r="P44" s="2">
        <f ca="1">RTD("wdf.rtq",,$A44,P$2)</f>
        <v>-3.0000000000000003E-4</v>
      </c>
      <c r="Q44" s="3">
        <f>[1]!w_info_ptmtradeday(A44,"")</f>
        <v>55</v>
      </c>
      <c r="R44" s="1" t="str">
        <f>[1]!w_info_callput(A44)</f>
        <v>认购</v>
      </c>
      <c r="S44" s="7">
        <f>[1]!s_info_margin(A44)</f>
        <v>4348.8999999999996</v>
      </c>
    </row>
    <row r="45" spans="1:19" x14ac:dyDescent="0.25">
      <c r="A45" s="6" t="s">
        <v>60</v>
      </c>
      <c r="B45" s="9">
        <f>[1]!w_info_strikeprice(A45,"")</f>
        <v>4.2</v>
      </c>
      <c r="C45" s="2">
        <f>RTD("wdf.rtq",,A45,"LastPrice")</f>
        <v>0.20900000000000002</v>
      </c>
      <c r="D45" s="2">
        <f t="shared" si="0"/>
        <v>0.2107</v>
      </c>
      <c r="E45" s="2">
        <f>RTD("wdf.rtq",,A45,"Bid_Price1")</f>
        <v>0.20810000000000001</v>
      </c>
      <c r="F45" s="2">
        <f>RTD("wdf.rtq",,A45,"Ask_Price1")</f>
        <v>0.21330000000000002</v>
      </c>
      <c r="G45" s="2">
        <f>RTD("wdf.rtq",,A45,"Change")</f>
        <v>7.1900000000000006E-2</v>
      </c>
      <c r="H45" s="2">
        <f>RTD("wdf.rtq",,A45,"PctChg")</f>
        <v>52.44</v>
      </c>
      <c r="I45" s="2">
        <f>RTD("wdf.rtq",,A45,"Volume")</f>
        <v>3315</v>
      </c>
      <c r="J45" s="2">
        <f>RTD("wdf.rtq",,A45, "rt_oi","RT_Price")</f>
        <v>9601</v>
      </c>
      <c r="K45" s="2">
        <f>RTD("wdf.rtq",,A45,"ImpliedVol")</f>
        <v>0.39590000000000003</v>
      </c>
      <c r="L45" s="2">
        <f>RTD("wdf.rtq",,A45, "rt_miv","RT_Price")</f>
        <v>0.39560000000000001</v>
      </c>
      <c r="M45" s="2">
        <f>RTD("wdf.rtq",,A45,"Delta")</f>
        <v>0.42510000000000003</v>
      </c>
      <c r="N45" s="2">
        <f ca="1">RTD("wdf.rtq",,$A45,N$2)</f>
        <v>6.8500000000000005E-2</v>
      </c>
      <c r="O45" s="2">
        <f ca="1">RTD("wdf.rtq",,$A45,O$2)</f>
        <v>2.0000000000000001E-4</v>
      </c>
      <c r="P45" s="2">
        <f ca="1">RTD("wdf.rtq",,$A45,P$2)</f>
        <v>-3.0000000000000003E-4</v>
      </c>
      <c r="Q45" s="3">
        <f>[1]!w_info_ptmtradeday(A45,"")</f>
        <v>55</v>
      </c>
      <c r="R45" s="1" t="str">
        <f>[1]!w_info_callput(A45)</f>
        <v>认购</v>
      </c>
      <c r="S45" s="7">
        <f>[1]!s_info_margin(A45)</f>
        <v>4077.9</v>
      </c>
    </row>
    <row r="46" spans="1:19" x14ac:dyDescent="0.25">
      <c r="A46" s="6" t="s">
        <v>61</v>
      </c>
      <c r="B46" s="9">
        <f>[1]!w_info_strikeprice(A46,"")</f>
        <v>4.3</v>
      </c>
      <c r="C46" s="2">
        <f>RTD("wdf.rtq",,A46,"LastPrice")</f>
        <v>0.1784</v>
      </c>
      <c r="D46" s="2">
        <f t="shared" si="0"/>
        <v>0.17895</v>
      </c>
      <c r="E46" s="2">
        <f>RTD("wdf.rtq",,A46,"Bid_Price1")</f>
        <v>0.17700000000000002</v>
      </c>
      <c r="F46" s="2">
        <f>RTD("wdf.rtq",,A46,"Ask_Price1")</f>
        <v>0.18090000000000001</v>
      </c>
      <c r="G46" s="2">
        <f>RTD("wdf.rtq",,A46,"Change")</f>
        <v>6.2300000000000001E-2</v>
      </c>
      <c r="H46" s="2">
        <f>RTD("wdf.rtq",,A46,"PctChg")</f>
        <v>53.660000000000011</v>
      </c>
      <c r="I46" s="2">
        <f>RTD("wdf.rtq",,A46,"Volume")</f>
        <v>4876</v>
      </c>
      <c r="J46" s="2">
        <f>RTD("wdf.rtq",,A46, "rt_oi","RT_Price")</f>
        <v>7318</v>
      </c>
      <c r="K46" s="2">
        <f>RTD("wdf.rtq",,A46,"ImpliedVol")</f>
        <v>0.39940000000000003</v>
      </c>
      <c r="L46" s="2">
        <f>RTD("wdf.rtq",,A46, "rt_miv","RT_Price")</f>
        <v>0.3977</v>
      </c>
      <c r="M46" s="2">
        <f>RTD("wdf.rtq",,A46,"Delta")</f>
        <v>0.37759999999999999</v>
      </c>
      <c r="N46" s="2">
        <f ca="1">RTD("wdf.rtq",,$A46,N$2)</f>
        <v>6.8500000000000005E-2</v>
      </c>
      <c r="O46" s="2">
        <f ca="1">RTD("wdf.rtq",,$A46,O$2)</f>
        <v>2.0000000000000001E-4</v>
      </c>
      <c r="P46" s="2">
        <f ca="1">RTD("wdf.rtq",,$A46,P$2)</f>
        <v>-3.0000000000000003E-4</v>
      </c>
      <c r="Q46" s="3">
        <f>[1]!w_info_ptmtradeday(A46,"")</f>
        <v>55</v>
      </c>
      <c r="R46" s="1" t="str">
        <f>[1]!w_info_callput(A46)</f>
        <v>认购</v>
      </c>
      <c r="S46" s="7">
        <f>[1]!s_info_margin(A46)</f>
        <v>3867.9</v>
      </c>
    </row>
    <row r="47" spans="1:19" x14ac:dyDescent="0.25">
      <c r="A47" s="6" t="s">
        <v>62</v>
      </c>
      <c r="B47" s="9">
        <f>[1]!w_info_strikeprice(A47,"")</f>
        <v>4.4000000000000004</v>
      </c>
      <c r="C47" s="2">
        <f>RTD("wdf.rtq",,A47,"LastPrice")</f>
        <v>0.15210000000000001</v>
      </c>
      <c r="D47" s="2">
        <f t="shared" si="0"/>
        <v>0.1522</v>
      </c>
      <c r="E47" s="2">
        <f>RTD("wdf.rtq",,A47,"Bid_Price1")</f>
        <v>0.152</v>
      </c>
      <c r="F47" s="2">
        <f>RTD("wdf.rtq",,A47,"Ask_Price1")</f>
        <v>0.15240000000000001</v>
      </c>
      <c r="G47" s="2">
        <f>RTD("wdf.rtq",,A47,"Change")</f>
        <v>5.67E-2</v>
      </c>
      <c r="H47" s="2">
        <f>RTD("wdf.rtq",,A47,"PctChg")</f>
        <v>59.430000000000007</v>
      </c>
      <c r="I47" s="2">
        <f>RTD("wdf.rtq",,A47,"Volume")</f>
        <v>2907</v>
      </c>
      <c r="J47" s="2">
        <f>RTD("wdf.rtq",,A47, "rt_oi","RT_Price")</f>
        <v>9124</v>
      </c>
      <c r="K47" s="2">
        <f>RTD("wdf.rtq",,A47,"ImpliedVol")</f>
        <v>0.40300000000000002</v>
      </c>
      <c r="L47" s="2">
        <f>RTD("wdf.rtq",,A47, "rt_miv","RT_Price")</f>
        <v>0.40090000000000003</v>
      </c>
      <c r="M47" s="2">
        <f>RTD("wdf.rtq",,A47,"Delta")</f>
        <v>0.3347</v>
      </c>
      <c r="N47" s="2">
        <f ca="1">RTD("wdf.rtq",,$A47,N$2)</f>
        <v>6.8500000000000005E-2</v>
      </c>
      <c r="O47" s="2">
        <f ca="1">RTD("wdf.rtq",,$A47,O$2)</f>
        <v>2.0000000000000001E-4</v>
      </c>
      <c r="P47" s="2">
        <f ca="1">RTD("wdf.rtq",,$A47,P$2)</f>
        <v>-3.0000000000000003E-4</v>
      </c>
      <c r="Q47" s="3">
        <f>[1]!w_info_ptmtradeday(A47,"")</f>
        <v>55</v>
      </c>
      <c r="R47" s="1" t="str">
        <f>[1]!w_info_callput(A47)</f>
        <v>认购</v>
      </c>
      <c r="S47" s="7">
        <f>[1]!s_info_margin(A47)</f>
        <v>3660.9</v>
      </c>
    </row>
    <row r="48" spans="1:19" x14ac:dyDescent="0.25">
      <c r="A48" s="6" t="s">
        <v>63</v>
      </c>
      <c r="B48" s="9">
        <f>[1]!w_info_strikeprice(A48,"")</f>
        <v>4.5</v>
      </c>
      <c r="C48" s="2">
        <f>RTD("wdf.rtq",,A48,"LastPrice")</f>
        <v>0.12970000000000001</v>
      </c>
      <c r="D48" s="2">
        <f t="shared" si="0"/>
        <v>0.1278</v>
      </c>
      <c r="E48" s="2">
        <f>RTD("wdf.rtq",,A48,"Bid_Price1")</f>
        <v>0.1265</v>
      </c>
      <c r="F48" s="2">
        <f>RTD("wdf.rtq",,A48,"Ask_Price1")</f>
        <v>0.12909999999999999</v>
      </c>
      <c r="G48" s="2">
        <f>RTD("wdf.rtq",,A48,"Change")</f>
        <v>4.87E-2</v>
      </c>
      <c r="H48" s="2">
        <f>RTD("wdf.rtq",,A48,"PctChg")</f>
        <v>60.120000000000005</v>
      </c>
      <c r="I48" s="2">
        <f>RTD("wdf.rtq",,A48,"Volume")</f>
        <v>3215</v>
      </c>
      <c r="J48" s="2">
        <f>RTD("wdf.rtq",,A48, "rt_oi","RT_Price")</f>
        <v>12111</v>
      </c>
      <c r="K48" s="2">
        <f>RTD("wdf.rtq",,A48,"ImpliedVol")</f>
        <v>0.40720000000000001</v>
      </c>
      <c r="L48" s="2">
        <f>RTD("wdf.rtq",,A48, "rt_miv","RT_Price")</f>
        <v>0.40190000000000003</v>
      </c>
      <c r="M48" s="2">
        <f>RTD("wdf.rtq",,A48,"Delta")</f>
        <v>0.29520000000000002</v>
      </c>
      <c r="N48" s="2">
        <f ca="1">RTD("wdf.rtq",,$A48,N$2)</f>
        <v>6.8500000000000005E-2</v>
      </c>
      <c r="O48" s="2">
        <f ca="1">RTD("wdf.rtq",,$A48,O$2)</f>
        <v>2.0000000000000001E-4</v>
      </c>
      <c r="P48" s="2">
        <f ca="1">RTD("wdf.rtq",,$A48,P$2)</f>
        <v>-3.0000000000000003E-4</v>
      </c>
      <c r="Q48" s="3">
        <f>[1]!w_info_ptmtradeday(A48,"")</f>
        <v>55</v>
      </c>
      <c r="R48" s="1" t="str">
        <f>[1]!w_info_callput(A48)</f>
        <v>认购</v>
      </c>
      <c r="S48" s="7">
        <f>[1]!s_info_margin(A48)</f>
        <v>3516.9</v>
      </c>
    </row>
    <row r="49" spans="1:19" x14ac:dyDescent="0.25">
      <c r="A49" s="6" t="s">
        <v>64</v>
      </c>
      <c r="B49" s="9">
        <f>[1]!w_info_strikeprice(A49,"")</f>
        <v>4.5999999999999996</v>
      </c>
      <c r="C49" s="2">
        <f>RTD("wdf.rtq",,A49,"LastPrice")</f>
        <v>0.11180000000000001</v>
      </c>
      <c r="D49" s="2">
        <f t="shared" si="0"/>
        <v>0.1111</v>
      </c>
      <c r="E49" s="2">
        <f>RTD("wdf.rtq",,A49,"Bid_Price1")</f>
        <v>0.10830000000000001</v>
      </c>
      <c r="F49" s="2">
        <f>RTD("wdf.rtq",,A49,"Ask_Price1")</f>
        <v>0.1139</v>
      </c>
      <c r="G49" s="2">
        <f>RTD("wdf.rtq",,A49,"Change")</f>
        <v>4.3700000000000003E-2</v>
      </c>
      <c r="H49" s="2">
        <f>RTD("wdf.rtq",,A49,"PctChg")</f>
        <v>64.17</v>
      </c>
      <c r="I49" s="2">
        <f>RTD("wdf.rtq",,A49,"Volume")</f>
        <v>2140</v>
      </c>
      <c r="J49" s="2">
        <f>RTD("wdf.rtq",,A49, "rt_oi","RT_Price")</f>
        <v>4004</v>
      </c>
      <c r="K49" s="2">
        <f>RTD("wdf.rtq",,A49,"ImpliedVol")</f>
        <v>0.41320000000000001</v>
      </c>
      <c r="L49" s="2">
        <f>RTD("wdf.rtq",,A49, "rt_miv","RT_Price")</f>
        <v>0.40990000000000004</v>
      </c>
      <c r="M49" s="2">
        <f>RTD("wdf.rtq",,A49,"Delta")</f>
        <v>0.2611</v>
      </c>
      <c r="N49" s="2">
        <f ca="1">RTD("wdf.rtq",,$A49,N$2)</f>
        <v>6.8500000000000005E-2</v>
      </c>
      <c r="O49" s="2">
        <f ca="1">RTD("wdf.rtq",,$A49,O$2)</f>
        <v>2.0000000000000001E-4</v>
      </c>
      <c r="P49" s="2">
        <f ca="1">RTD("wdf.rtq",,$A49,P$2)</f>
        <v>-3.0000000000000003E-4</v>
      </c>
      <c r="Q49" s="3">
        <f>[1]!w_info_ptmtradeday(A49,"")</f>
        <v>55</v>
      </c>
      <c r="R49" s="1" t="str">
        <f>[1]!w_info_callput(A49)</f>
        <v>认购</v>
      </c>
      <c r="S49" s="7">
        <f>[1]!s_info_margin(A49)</f>
        <v>3387.9</v>
      </c>
    </row>
    <row r="50" spans="1:19" x14ac:dyDescent="0.25">
      <c r="A50" s="6" t="s">
        <v>65</v>
      </c>
      <c r="B50" s="9">
        <f>[1]!w_info_strikeprice(A50,"")</f>
        <v>4.7</v>
      </c>
      <c r="C50" s="2">
        <f>RTD("wdf.rtq",,A50,"LastPrice")</f>
        <v>9.5899999999999999E-2</v>
      </c>
      <c r="D50" s="2">
        <f t="shared" si="0"/>
        <v>9.5600000000000004E-2</v>
      </c>
      <c r="E50" s="2">
        <f>RTD("wdf.rtq",,A50,"Bid_Price1")</f>
        <v>9.35E-2</v>
      </c>
      <c r="F50" s="2">
        <f>RTD("wdf.rtq",,A50,"Ask_Price1")</f>
        <v>9.7700000000000009E-2</v>
      </c>
      <c r="G50" s="2">
        <f>RTD("wdf.rtq",,A50,"Change")</f>
        <v>3.8100000000000002E-2</v>
      </c>
      <c r="H50" s="2">
        <f>RTD("wdf.rtq",,A50,"PctChg")</f>
        <v>65.92</v>
      </c>
      <c r="I50" s="2">
        <f>RTD("wdf.rtq",,A50,"Volume")</f>
        <v>4949</v>
      </c>
      <c r="J50" s="2">
        <f>RTD("wdf.rtq",,A50, "rt_oi","RT_Price")</f>
        <v>6020</v>
      </c>
      <c r="K50" s="2">
        <f>RTD("wdf.rtq",,A50,"ImpliedVol")</f>
        <v>0.41750000000000004</v>
      </c>
      <c r="L50" s="2">
        <f>RTD("wdf.rtq",,A50, "rt_miv","RT_Price")</f>
        <v>0.41550000000000004</v>
      </c>
      <c r="M50" s="2">
        <f>RTD("wdf.rtq",,A50,"Delta")</f>
        <v>0.2301</v>
      </c>
      <c r="N50" s="2">
        <f ca="1">RTD("wdf.rtq",,$A50,N$2)</f>
        <v>6.8500000000000005E-2</v>
      </c>
      <c r="O50" s="2">
        <f ca="1">RTD("wdf.rtq",,$A50,O$2)</f>
        <v>2.0000000000000001E-4</v>
      </c>
      <c r="P50" s="2">
        <f ca="1">RTD("wdf.rtq",,$A50,P$2)</f>
        <v>-3.0000000000000003E-4</v>
      </c>
      <c r="Q50" s="3">
        <f>[1]!w_info_ptmtradeday(A50,"")</f>
        <v>55</v>
      </c>
      <c r="R50" s="1" t="str">
        <f>[1]!w_info_callput(A50)</f>
        <v>认购</v>
      </c>
      <c r="S50" s="7">
        <f>[1]!s_info_margin(A50)</f>
        <v>3284.9</v>
      </c>
    </row>
    <row r="51" spans="1:19" x14ac:dyDescent="0.25">
      <c r="A51" s="6" t="s">
        <v>66</v>
      </c>
      <c r="B51" s="9">
        <f>[1]!w_info_strikeprice(A51,"")</f>
        <v>4.8</v>
      </c>
      <c r="C51" s="2">
        <f>RTD("wdf.rtq",,A51,"LastPrice")</f>
        <v>8.1799999999999998E-2</v>
      </c>
      <c r="D51" s="2">
        <f t="shared" si="0"/>
        <v>8.2150000000000001E-2</v>
      </c>
      <c r="E51" s="2">
        <f>RTD("wdf.rtq",,A51,"Bid_Price1")</f>
        <v>8.1799999999999998E-2</v>
      </c>
      <c r="F51" s="2">
        <f>RTD("wdf.rtq",,A51,"Ask_Price1")</f>
        <v>8.2500000000000004E-2</v>
      </c>
      <c r="G51" s="2">
        <f>RTD("wdf.rtq",,A51,"Change")</f>
        <v>3.1900000000000005E-2</v>
      </c>
      <c r="H51" s="2">
        <f>RTD("wdf.rtq",,A51,"PctChg")</f>
        <v>63.93</v>
      </c>
      <c r="I51" s="2">
        <f>RTD("wdf.rtq",,A51,"Volume")</f>
        <v>9285</v>
      </c>
      <c r="J51" s="2">
        <f>RTD("wdf.rtq",,A51, "rt_oi","RT_Price")</f>
        <v>16919</v>
      </c>
      <c r="K51" s="2">
        <f>RTD("wdf.rtq",,A51,"ImpliedVol")</f>
        <v>0.42000000000000004</v>
      </c>
      <c r="L51" s="2">
        <f>RTD("wdf.rtq",,A51, "rt_miv","RT_Price")</f>
        <v>0.42060000000000003</v>
      </c>
      <c r="M51" s="2">
        <f>RTD("wdf.rtq",,A51,"Delta")</f>
        <v>0.2021</v>
      </c>
      <c r="N51" s="2">
        <f ca="1">RTD("wdf.rtq",,$A51,N$2)</f>
        <v>6.8500000000000005E-2</v>
      </c>
      <c r="O51" s="2">
        <f ca="1">RTD("wdf.rtq",,$A51,O$2)</f>
        <v>2.0000000000000001E-4</v>
      </c>
      <c r="P51" s="2">
        <f ca="1">RTD("wdf.rtq",,$A51,P$2)</f>
        <v>-3.0000000000000003E-4</v>
      </c>
      <c r="Q51" s="3">
        <f>[1]!w_info_ptmtradeday(A51,"")</f>
        <v>55</v>
      </c>
      <c r="R51" s="1" t="str">
        <f>[1]!w_info_callput(A51)</f>
        <v>认购</v>
      </c>
      <c r="S51" s="7">
        <f>[1]!s_info_margin(A51)</f>
        <v>3205.9</v>
      </c>
    </row>
    <row r="52" spans="1:19" x14ac:dyDescent="0.25">
      <c r="A52" s="6" t="s">
        <v>67</v>
      </c>
      <c r="B52" s="9">
        <f>[1]!w_info_strikeprice(A52,"")</f>
        <v>3.2</v>
      </c>
      <c r="C52" s="2">
        <f>RTD("wdf.rtq",,A52,"LastPrice")</f>
        <v>0.84789999999999999</v>
      </c>
      <c r="D52" s="2">
        <f t="shared" si="0"/>
        <v>0.8478</v>
      </c>
      <c r="E52" s="2">
        <f>RTD("wdf.rtq",,A52,"Bid_Price1")</f>
        <v>0.83560000000000001</v>
      </c>
      <c r="F52" s="2">
        <f>RTD("wdf.rtq",,A52,"Ask_Price1")</f>
        <v>0.86</v>
      </c>
      <c r="G52" s="2">
        <f>RTD("wdf.rtq",,A52,"Change")</f>
        <v>0.13650000000000001</v>
      </c>
      <c r="H52" s="2">
        <f>RTD("wdf.rtq",,A52,"PctChg")</f>
        <v>19.190000000000001</v>
      </c>
      <c r="I52" s="2">
        <f>RTD("wdf.rtq",,A52,"Volume")</f>
        <v>71</v>
      </c>
      <c r="J52" s="2">
        <f>RTD("wdf.rtq",,A52, "rt_oi","RT_Price")</f>
        <v>963</v>
      </c>
      <c r="K52" s="2">
        <f>RTD("wdf.rtq",,A52,"ImpliedVol")</f>
        <v>0.40529999999999999</v>
      </c>
      <c r="L52" s="2">
        <f>RTD("wdf.rtq",,A52, "rt_miv","RT_Price")</f>
        <v>0.40010000000000001</v>
      </c>
      <c r="M52" s="2">
        <f>RTD("wdf.rtq",,A52,"Delta")</f>
        <v>0.80470000000000008</v>
      </c>
      <c r="N52" s="2">
        <f ca="1">RTD("wdf.rtq",,$A52,N$2)</f>
        <v>6.8500000000000005E-2</v>
      </c>
      <c r="O52" s="2">
        <f ca="1">RTD("wdf.rtq",,$A52,O$2)</f>
        <v>2.0000000000000001E-4</v>
      </c>
      <c r="P52" s="2">
        <f ca="1">RTD("wdf.rtq",,$A52,P$2)</f>
        <v>-3.0000000000000003E-4</v>
      </c>
      <c r="Q52" s="3">
        <f>[1]!w_info_ptmtradeday(A52,"")</f>
        <v>114</v>
      </c>
      <c r="R52" s="1" t="str">
        <f>[1]!w_info_callput(A52)</f>
        <v>认购</v>
      </c>
      <c r="S52" s="7">
        <f>[1]!s_info_margin(A52)</f>
        <v>11754.4</v>
      </c>
    </row>
    <row r="53" spans="1:19" x14ac:dyDescent="0.25">
      <c r="A53" s="6" t="s">
        <v>68</v>
      </c>
      <c r="B53" s="9">
        <f>[1]!w_info_strikeprice(A53,"")</f>
        <v>3.3</v>
      </c>
      <c r="C53" s="2">
        <f>RTD("wdf.rtq",,A53,"LastPrice")</f>
        <v>0.7681</v>
      </c>
      <c r="D53" s="2">
        <f t="shared" si="0"/>
        <v>0.78210000000000002</v>
      </c>
      <c r="E53" s="2">
        <f>RTD("wdf.rtq",,A53,"Bid_Price1")</f>
        <v>0.76380000000000003</v>
      </c>
      <c r="F53" s="2">
        <f>RTD("wdf.rtq",,A53,"Ask_Price1")</f>
        <v>0.8004</v>
      </c>
      <c r="G53" s="2">
        <f>RTD("wdf.rtq",,A53,"Change")</f>
        <v>0.1318</v>
      </c>
      <c r="H53" s="2">
        <f>RTD("wdf.rtq",,A53,"PctChg")</f>
        <v>20.71</v>
      </c>
      <c r="I53" s="2">
        <f>RTD("wdf.rtq",,A53,"Volume")</f>
        <v>25</v>
      </c>
      <c r="J53" s="2">
        <f>RTD("wdf.rtq",,A53, "rt_oi","RT_Price")</f>
        <v>671</v>
      </c>
      <c r="K53" s="2">
        <f>RTD("wdf.rtq",,A53,"ImpliedVol")</f>
        <v>0.40280000000000005</v>
      </c>
      <c r="L53" s="2">
        <f>RTD("wdf.rtq",,A53, "rt_miv","RT_Price")</f>
        <v>0.40629999999999999</v>
      </c>
      <c r="M53" s="2">
        <f>RTD("wdf.rtq",,A53,"Delta")</f>
        <v>0.77050000000000007</v>
      </c>
      <c r="N53" s="2">
        <f ca="1">RTD("wdf.rtq",,$A53,N$2)</f>
        <v>6.8500000000000005E-2</v>
      </c>
      <c r="O53" s="2">
        <f ca="1">RTD("wdf.rtq",,$A53,O$2)</f>
        <v>2.0000000000000001E-4</v>
      </c>
      <c r="P53" s="2">
        <f ca="1">RTD("wdf.rtq",,$A53,P$2)</f>
        <v>-3.0000000000000003E-4</v>
      </c>
      <c r="Q53" s="3">
        <f>[1]!w_info_ptmtradeday(A53,"")</f>
        <v>114</v>
      </c>
      <c r="R53" s="1" t="str">
        <f>[1]!w_info_callput(A53)</f>
        <v>认购</v>
      </c>
      <c r="S53" s="7">
        <f>[1]!s_info_margin(A53)</f>
        <v>11003.4</v>
      </c>
    </row>
    <row r="54" spans="1:19" x14ac:dyDescent="0.25">
      <c r="A54" s="6" t="s">
        <v>69</v>
      </c>
      <c r="B54" s="9">
        <f>[1]!w_info_strikeprice(A54,"")</f>
        <v>3.4</v>
      </c>
      <c r="C54" s="2">
        <f>RTD("wdf.rtq",,A54,"LastPrice")</f>
        <v>0.70000000000000007</v>
      </c>
      <c r="D54" s="2">
        <f t="shared" si="0"/>
        <v>0.7037500000000001</v>
      </c>
      <c r="E54" s="2">
        <f>RTD("wdf.rtq",,A54,"Bid_Price1")</f>
        <v>0.69450000000000001</v>
      </c>
      <c r="F54" s="2">
        <f>RTD("wdf.rtq",,A54,"Ask_Price1")</f>
        <v>0.71300000000000008</v>
      </c>
      <c r="G54" s="2">
        <f>RTD("wdf.rtq",,A54,"Change")</f>
        <v>0.12290000000000001</v>
      </c>
      <c r="H54" s="2">
        <f>RTD("wdf.rtq",,A54,"PctChg")</f>
        <v>21.3</v>
      </c>
      <c r="I54" s="2">
        <f>RTD("wdf.rtq",,A54,"Volume")</f>
        <v>67</v>
      </c>
      <c r="J54" s="2">
        <f>RTD("wdf.rtq",,A54, "rt_oi","RT_Price")</f>
        <v>417</v>
      </c>
      <c r="K54" s="2">
        <f>RTD("wdf.rtq",,A54,"ImpliedVol")</f>
        <v>0.3982</v>
      </c>
      <c r="L54" s="2">
        <f>RTD("wdf.rtq",,A54, "rt_miv","RT_Price")</f>
        <v>0.39230000000000004</v>
      </c>
      <c r="M54" s="2">
        <f>RTD("wdf.rtq",,A54,"Delta")</f>
        <v>0.73910000000000009</v>
      </c>
      <c r="N54" s="2">
        <f ca="1">RTD("wdf.rtq",,$A54,N$2)</f>
        <v>6.8500000000000005E-2</v>
      </c>
      <c r="O54" s="2">
        <f ca="1">RTD("wdf.rtq",,$A54,O$2)</f>
        <v>2.0000000000000001E-4</v>
      </c>
      <c r="P54" s="2">
        <f ca="1">RTD("wdf.rtq",,$A54,P$2)</f>
        <v>-3.0000000000000003E-4</v>
      </c>
      <c r="Q54" s="3">
        <f>[1]!w_info_ptmtradeday(A54,"")</f>
        <v>114</v>
      </c>
      <c r="R54" s="1" t="str">
        <f>[1]!w_info_callput(A54)</f>
        <v>认购</v>
      </c>
      <c r="S54" s="7">
        <f>[1]!s_info_margin(A54)</f>
        <v>10411.4</v>
      </c>
    </row>
    <row r="55" spans="1:19" x14ac:dyDescent="0.25">
      <c r="A55" s="6" t="s">
        <v>70</v>
      </c>
      <c r="B55" s="9">
        <f>[1]!w_info_strikeprice(A55,"")</f>
        <v>3.5</v>
      </c>
      <c r="C55" s="2">
        <f>RTD("wdf.rtq",,A55,"LastPrice")</f>
        <v>0.64540000000000008</v>
      </c>
      <c r="D55" s="2">
        <f t="shared" si="0"/>
        <v>0.63834999999999997</v>
      </c>
      <c r="E55" s="2">
        <f>RTD("wdf.rtq",,A55,"Bid_Price1")</f>
        <v>0.63070000000000004</v>
      </c>
      <c r="F55" s="2">
        <f>RTD("wdf.rtq",,A55,"Ask_Price1")</f>
        <v>0.64600000000000002</v>
      </c>
      <c r="G55" s="2">
        <f>RTD("wdf.rtq",,A55,"Change")</f>
        <v>0.13009999999999999</v>
      </c>
      <c r="H55" s="2">
        <f>RTD("wdf.rtq",,A55,"PctChg")</f>
        <v>25.25</v>
      </c>
      <c r="I55" s="2">
        <f>RTD("wdf.rtq",,A55,"Volume")</f>
        <v>413</v>
      </c>
      <c r="J55" s="2">
        <f>RTD("wdf.rtq",,A55, "rt_oi","RT_Price")</f>
        <v>1366</v>
      </c>
      <c r="K55" s="2">
        <f>RTD("wdf.rtq",,A55,"ImpliedVol")</f>
        <v>0.39350000000000002</v>
      </c>
      <c r="L55" s="2">
        <f>RTD("wdf.rtq",,A55, "rt_miv","RT_Price")</f>
        <v>0.38990000000000002</v>
      </c>
      <c r="M55" s="2">
        <f>RTD("wdf.rtq",,A55,"Delta")</f>
        <v>0.71050000000000002</v>
      </c>
      <c r="N55" s="2">
        <f ca="1">RTD("wdf.rtq",,$A55,N$2)</f>
        <v>6.8500000000000005E-2</v>
      </c>
      <c r="O55" s="2">
        <f ca="1">RTD("wdf.rtq",,$A55,O$2)</f>
        <v>2.0000000000000001E-4</v>
      </c>
      <c r="P55" s="2">
        <f ca="1">RTD("wdf.rtq",,$A55,P$2)</f>
        <v>-3.0000000000000003E-4</v>
      </c>
      <c r="Q55" s="3">
        <f>[1]!w_info_ptmtradeday(A55,"")</f>
        <v>114</v>
      </c>
      <c r="R55" s="1" t="str">
        <f>[1]!w_info_callput(A55)</f>
        <v>认购</v>
      </c>
      <c r="S55" s="7">
        <f>[1]!s_info_margin(A55)</f>
        <v>9793.4</v>
      </c>
    </row>
    <row r="56" spans="1:19" x14ac:dyDescent="0.25">
      <c r="A56" s="6" t="s">
        <v>71</v>
      </c>
      <c r="B56" s="9">
        <f>[1]!w_info_strikeprice(A56,"")</f>
        <v>3.6</v>
      </c>
      <c r="C56" s="2">
        <f>RTD("wdf.rtq",,A56,"LastPrice")</f>
        <v>0.58440000000000003</v>
      </c>
      <c r="D56" s="2">
        <f t="shared" si="0"/>
        <v>0.58525000000000005</v>
      </c>
      <c r="E56" s="2">
        <f>RTD("wdf.rtq",,A56,"Bid_Price1")</f>
        <v>0.5706</v>
      </c>
      <c r="F56" s="2">
        <f>RTD("wdf.rtq",,A56,"Ask_Price1")</f>
        <v>0.59989999999999999</v>
      </c>
      <c r="G56" s="2">
        <f>RTD("wdf.rtq",,A56,"Change")</f>
        <v>0.12240000000000001</v>
      </c>
      <c r="H56" s="2">
        <f>RTD("wdf.rtq",,A56,"PctChg")</f>
        <v>26.490000000000002</v>
      </c>
      <c r="I56" s="2">
        <f>RTD("wdf.rtq",,A56,"Volume")</f>
        <v>171</v>
      </c>
      <c r="J56" s="2">
        <f>RTD("wdf.rtq",,A56, "rt_oi","RT_Price")</f>
        <v>872</v>
      </c>
      <c r="K56" s="2">
        <f>RTD("wdf.rtq",,A56,"ImpliedVol")</f>
        <v>0.3992</v>
      </c>
      <c r="L56" s="2">
        <f>RTD("wdf.rtq",,A56, "rt_miv","RT_Price")</f>
        <v>0.39640000000000003</v>
      </c>
      <c r="M56" s="2">
        <f>RTD("wdf.rtq",,A56,"Delta")</f>
        <v>0.66960000000000008</v>
      </c>
      <c r="N56" s="2">
        <f ca="1">RTD("wdf.rtq",,$A56,N$2)</f>
        <v>6.8500000000000005E-2</v>
      </c>
      <c r="O56" s="2">
        <f ca="1">RTD("wdf.rtq",,$A56,O$2)</f>
        <v>2.0000000000000001E-4</v>
      </c>
      <c r="P56" s="2">
        <f ca="1">RTD("wdf.rtq",,$A56,P$2)</f>
        <v>-3.0000000000000003E-4</v>
      </c>
      <c r="Q56" s="3">
        <f>[1]!w_info_ptmtradeday(A56,"")</f>
        <v>114</v>
      </c>
      <c r="R56" s="1" t="str">
        <f>[1]!w_info_callput(A56)</f>
        <v>认购</v>
      </c>
      <c r="S56" s="7">
        <f>[1]!s_info_margin(A56)</f>
        <v>9260.4</v>
      </c>
    </row>
    <row r="57" spans="1:19" x14ac:dyDescent="0.25">
      <c r="A57" s="6" t="s">
        <v>72</v>
      </c>
      <c r="B57" s="9">
        <f>[1]!w_info_strikeprice(A57,"")</f>
        <v>3.7</v>
      </c>
      <c r="C57" s="2">
        <f>RTD("wdf.rtq",,A57,"LastPrice")</f>
        <v>0.52580000000000005</v>
      </c>
      <c r="D57" s="2">
        <f t="shared" si="0"/>
        <v>0.53344999999999998</v>
      </c>
      <c r="E57" s="2">
        <f>RTD("wdf.rtq",,A57,"Bid_Price1")</f>
        <v>0.52580000000000005</v>
      </c>
      <c r="F57" s="2">
        <f>RTD("wdf.rtq",,A57,"Ask_Price1")</f>
        <v>0.54110000000000003</v>
      </c>
      <c r="G57" s="2">
        <f>RTD("wdf.rtq",,A57,"Change")</f>
        <v>0.11860000000000001</v>
      </c>
      <c r="H57" s="2">
        <f>RTD("wdf.rtq",,A57,"PctChg")</f>
        <v>29.13</v>
      </c>
      <c r="I57" s="2">
        <f>RTD("wdf.rtq",,A57,"Volume")</f>
        <v>224</v>
      </c>
      <c r="J57" s="2">
        <f>RTD("wdf.rtq",,A57, "rt_oi","RT_Price")</f>
        <v>1848</v>
      </c>
      <c r="K57" s="2">
        <f>RTD("wdf.rtq",,A57,"ImpliedVol")</f>
        <v>0.3886</v>
      </c>
      <c r="L57" s="2">
        <f>RTD("wdf.rtq",,A57, "rt_miv","RT_Price")</f>
        <v>0.39960000000000001</v>
      </c>
      <c r="M57" s="2">
        <f>RTD("wdf.rtq",,A57,"Delta")</f>
        <v>0.63729999999999998</v>
      </c>
      <c r="N57" s="2">
        <f ca="1">RTD("wdf.rtq",,$A57,N$2)</f>
        <v>6.8500000000000005E-2</v>
      </c>
      <c r="O57" s="2">
        <f ca="1">RTD("wdf.rtq",,$A57,O$2)</f>
        <v>2.0000000000000001E-4</v>
      </c>
      <c r="P57" s="2">
        <f ca="1">RTD("wdf.rtq",,$A57,P$2)</f>
        <v>-3.0000000000000003E-4</v>
      </c>
      <c r="Q57" s="3">
        <f>[1]!w_info_ptmtradeday(A57,"")</f>
        <v>114</v>
      </c>
      <c r="R57" s="1" t="str">
        <f>[1]!w_info_callput(A57)</f>
        <v>认购</v>
      </c>
      <c r="S57" s="7">
        <f>[1]!s_info_margin(A57)</f>
        <v>8712.4</v>
      </c>
    </row>
    <row r="58" spans="1:19" x14ac:dyDescent="0.25">
      <c r="A58" s="6" t="s">
        <v>73</v>
      </c>
      <c r="B58" s="9">
        <f>[1]!w_info_strikeprice(A58,"")</f>
        <v>3.8</v>
      </c>
      <c r="C58" s="2">
        <f>RTD("wdf.rtq",,A58,"LastPrice")</f>
        <v>0.47210000000000002</v>
      </c>
      <c r="D58" s="2">
        <f t="shared" si="0"/>
        <v>0.47550000000000003</v>
      </c>
      <c r="E58" s="2">
        <f>RTD("wdf.rtq",,A58,"Bid_Price1")</f>
        <v>0.46360000000000001</v>
      </c>
      <c r="F58" s="2">
        <f>RTD("wdf.rtq",,A58,"Ask_Price1")</f>
        <v>0.4874</v>
      </c>
      <c r="G58" s="2">
        <f>RTD("wdf.rtq",,A58,"Change")</f>
        <v>0.10840000000000001</v>
      </c>
      <c r="H58" s="2">
        <f>RTD("wdf.rtq",,A58,"PctChg")</f>
        <v>29.799999999999997</v>
      </c>
      <c r="I58" s="2">
        <f>RTD("wdf.rtq",,A58,"Volume")</f>
        <v>304</v>
      </c>
      <c r="J58" s="2">
        <f>RTD("wdf.rtq",,A58, "rt_oi","RT_Price")</f>
        <v>1183</v>
      </c>
      <c r="K58" s="2">
        <f>RTD("wdf.rtq",,A58,"ImpliedVol")</f>
        <v>0.39300000000000002</v>
      </c>
      <c r="L58" s="2">
        <f>RTD("wdf.rtq",,A58, "rt_miv","RT_Price")</f>
        <v>0.39280000000000004</v>
      </c>
      <c r="M58" s="2">
        <f>RTD("wdf.rtq",,A58,"Delta")</f>
        <v>0.59530000000000005</v>
      </c>
      <c r="N58" s="2">
        <f ca="1">RTD("wdf.rtq",,$A58,N$2)</f>
        <v>6.8500000000000005E-2</v>
      </c>
      <c r="O58" s="2">
        <f ca="1">RTD("wdf.rtq",,$A58,O$2)</f>
        <v>2.0000000000000001E-4</v>
      </c>
      <c r="P58" s="2">
        <f ca="1">RTD("wdf.rtq",,$A58,P$2)</f>
        <v>-3.0000000000000003E-4</v>
      </c>
      <c r="Q58" s="3">
        <f>[1]!w_info_ptmtradeday(A58,"")</f>
        <v>114</v>
      </c>
      <c r="R58" s="1" t="str">
        <f>[1]!w_info_callput(A58)</f>
        <v>认购</v>
      </c>
      <c r="S58" s="7">
        <f>[1]!s_info_margin(A58)</f>
        <v>8277.4</v>
      </c>
    </row>
    <row r="59" spans="1:19" x14ac:dyDescent="0.25">
      <c r="A59" s="6" t="s">
        <v>74</v>
      </c>
      <c r="B59" s="9">
        <f>[1]!w_info_strikeprice(A59,"")</f>
        <v>3.9</v>
      </c>
      <c r="C59" s="2">
        <f>RTD("wdf.rtq",,A59,"LastPrice")</f>
        <v>0.42850000000000005</v>
      </c>
      <c r="D59" s="2">
        <f t="shared" si="0"/>
        <v>0.42400000000000004</v>
      </c>
      <c r="E59" s="2">
        <f>RTD("wdf.rtq",,A59,"Bid_Price1")</f>
        <v>0.41650000000000004</v>
      </c>
      <c r="F59" s="2">
        <f>RTD("wdf.rtq",,A59,"Ask_Price1")</f>
        <v>0.43149999999999999</v>
      </c>
      <c r="G59" s="2">
        <f>RTD("wdf.rtq",,A59,"Change")</f>
        <v>0.108</v>
      </c>
      <c r="H59" s="2">
        <f>RTD("wdf.rtq",,A59,"PctChg")</f>
        <v>33.700000000000003</v>
      </c>
      <c r="I59" s="2">
        <f>RTD("wdf.rtq",,A59,"Volume")</f>
        <v>600</v>
      </c>
      <c r="J59" s="2">
        <f>RTD("wdf.rtq",,A59, "rt_oi","RT_Price")</f>
        <v>4079</v>
      </c>
      <c r="K59" s="2">
        <f>RTD("wdf.rtq",,A59,"ImpliedVol")</f>
        <v>0.3931</v>
      </c>
      <c r="L59" s="2">
        <f>RTD("wdf.rtq",,A59, "rt_miv","RT_Price")</f>
        <v>0.38880000000000003</v>
      </c>
      <c r="M59" s="2">
        <f>RTD("wdf.rtq",,A59,"Delta")</f>
        <v>0.55940000000000001</v>
      </c>
      <c r="N59" s="2">
        <f ca="1">RTD("wdf.rtq",,$A59,N$2)</f>
        <v>6.8500000000000005E-2</v>
      </c>
      <c r="O59" s="2">
        <f ca="1">RTD("wdf.rtq",,$A59,O$2)</f>
        <v>2.0000000000000001E-4</v>
      </c>
      <c r="P59" s="2">
        <f ca="1">RTD("wdf.rtq",,$A59,P$2)</f>
        <v>-3.0000000000000003E-4</v>
      </c>
      <c r="Q59" s="3">
        <f>[1]!w_info_ptmtradeday(A59,"")</f>
        <v>114</v>
      </c>
      <c r="R59" s="1" t="str">
        <f>[1]!w_info_callput(A59)</f>
        <v>认购</v>
      </c>
      <c r="S59" s="7">
        <f>[1]!s_info_margin(A59)</f>
        <v>7515.4</v>
      </c>
    </row>
    <row r="60" spans="1:19" x14ac:dyDescent="0.25">
      <c r="A60" s="6" t="s">
        <v>75</v>
      </c>
      <c r="B60" s="9">
        <f>[1]!w_info_strikeprice(A60,"")</f>
        <v>4</v>
      </c>
      <c r="C60" s="2">
        <f>RTD("wdf.rtq",,A60,"LastPrice")</f>
        <v>0.38520000000000004</v>
      </c>
      <c r="D60" s="2">
        <f t="shared" si="0"/>
        <v>0.38525000000000004</v>
      </c>
      <c r="E60" s="2">
        <f>RTD("wdf.rtq",,A60,"Bid_Price1")</f>
        <v>0.37770000000000004</v>
      </c>
      <c r="F60" s="2">
        <f>RTD("wdf.rtq",,A60,"Ask_Price1")</f>
        <v>0.39280000000000004</v>
      </c>
      <c r="G60" s="2">
        <f>RTD("wdf.rtq",,A60,"Change")</f>
        <v>0.1043</v>
      </c>
      <c r="H60" s="2">
        <f>RTD("wdf.rtq",,A60,"PctChg")</f>
        <v>37.130000000000003</v>
      </c>
      <c r="I60" s="2">
        <f>RTD("wdf.rtq",,A60,"Volume")</f>
        <v>676</v>
      </c>
      <c r="J60" s="2">
        <f>RTD("wdf.rtq",,A60, "rt_oi","RT_Price")</f>
        <v>2100</v>
      </c>
      <c r="K60" s="2">
        <f>RTD("wdf.rtq",,A60,"ImpliedVol")</f>
        <v>0.39390000000000003</v>
      </c>
      <c r="L60" s="2">
        <f>RTD("wdf.rtq",,A60, "rt_miv","RT_Price")</f>
        <v>0.39330000000000004</v>
      </c>
      <c r="M60" s="2">
        <f>RTD("wdf.rtq",,A60,"Delta")</f>
        <v>0.52250000000000008</v>
      </c>
      <c r="N60" s="2">
        <f ca="1">RTD("wdf.rtq",,$A60,N$2)</f>
        <v>6.8500000000000005E-2</v>
      </c>
      <c r="O60" s="2">
        <f ca="1">RTD("wdf.rtq",,$A60,O$2)</f>
        <v>2.0000000000000001E-4</v>
      </c>
      <c r="P60" s="2">
        <f ca="1">RTD("wdf.rtq",,$A60,P$2)</f>
        <v>-3.0000000000000003E-4</v>
      </c>
      <c r="Q60" s="3">
        <f>[1]!w_info_ptmtradeday(A60,"")</f>
        <v>114</v>
      </c>
      <c r="R60" s="1" t="str">
        <f>[1]!w_info_callput(A60)</f>
        <v>认购</v>
      </c>
      <c r="S60" s="7">
        <f>[1]!s_info_margin(A60)</f>
        <v>6119.4</v>
      </c>
    </row>
    <row r="61" spans="1:19" x14ac:dyDescent="0.25">
      <c r="A61" s="6" t="s">
        <v>76</v>
      </c>
      <c r="B61" s="9">
        <f>[1]!w_info_strikeprice(A61,"")</f>
        <v>4.0999999999999996</v>
      </c>
      <c r="C61" s="2">
        <f>RTD("wdf.rtq",,A61,"LastPrice")</f>
        <v>0.34490000000000004</v>
      </c>
      <c r="D61" s="2">
        <f t="shared" si="0"/>
        <v>0.34455000000000002</v>
      </c>
      <c r="E61" s="2">
        <f>RTD("wdf.rtq",,A61,"Bid_Price1")</f>
        <v>0.34350000000000003</v>
      </c>
      <c r="F61" s="2">
        <f>RTD("wdf.rtq",,A61,"Ask_Price1")</f>
        <v>0.34560000000000002</v>
      </c>
      <c r="G61" s="2">
        <f>RTD("wdf.rtq",,A61,"Change")</f>
        <v>9.4899999999999998E-2</v>
      </c>
      <c r="H61" s="2">
        <f>RTD("wdf.rtq",,A61,"PctChg")</f>
        <v>37.96</v>
      </c>
      <c r="I61" s="2">
        <f>RTD("wdf.rtq",,A61,"Volume")</f>
        <v>455</v>
      </c>
      <c r="J61" s="2">
        <f>RTD("wdf.rtq",,A61, "rt_oi","RT_Price")</f>
        <v>2337</v>
      </c>
      <c r="K61" s="2">
        <f>RTD("wdf.rtq",,A61,"ImpliedVol")</f>
        <v>0.39350000000000002</v>
      </c>
      <c r="L61" s="2">
        <f>RTD("wdf.rtq",,A61, "rt_miv","RT_Price")</f>
        <v>0.3926</v>
      </c>
      <c r="M61" s="2">
        <f>RTD("wdf.rtq",,A61,"Delta")</f>
        <v>0.4859</v>
      </c>
      <c r="N61" s="2">
        <f ca="1">RTD("wdf.rtq",,$A61,N$2)</f>
        <v>6.8500000000000005E-2</v>
      </c>
      <c r="O61" s="2">
        <f ca="1">RTD("wdf.rtq",,$A61,O$2)</f>
        <v>2.0000000000000001E-4</v>
      </c>
      <c r="P61" s="2">
        <f ca="1">RTD("wdf.rtq",,$A61,P$2)</f>
        <v>-3.0000000000000003E-4</v>
      </c>
      <c r="Q61" s="3">
        <f>[1]!w_info_ptmtradeday(A61,"")</f>
        <v>114</v>
      </c>
      <c r="R61" s="1" t="str">
        <f>[1]!w_info_callput(A61)</f>
        <v>认购</v>
      </c>
      <c r="S61" s="7">
        <f>[1]!s_info_margin(A61)</f>
        <v>5206.8999999999996</v>
      </c>
    </row>
    <row r="62" spans="1:19" x14ac:dyDescent="0.25">
      <c r="A62" s="6" t="s">
        <v>77</v>
      </c>
      <c r="B62" s="9">
        <f>[1]!w_info_strikeprice(A62,"")</f>
        <v>4.2</v>
      </c>
      <c r="C62" s="2">
        <f>RTD("wdf.rtq",,A62,"LastPrice")</f>
        <v>0.30770000000000003</v>
      </c>
      <c r="D62" s="2">
        <f t="shared" si="0"/>
        <v>0.30400000000000005</v>
      </c>
      <c r="E62" s="2">
        <f>RTD("wdf.rtq",,A62,"Bid_Price1")</f>
        <v>0.29970000000000002</v>
      </c>
      <c r="F62" s="2">
        <f>RTD("wdf.rtq",,A62,"Ask_Price1")</f>
        <v>0.30830000000000002</v>
      </c>
      <c r="G62" s="2">
        <f>RTD("wdf.rtq",,A62,"Change")</f>
        <v>8.5900000000000004E-2</v>
      </c>
      <c r="H62" s="2">
        <f>RTD("wdf.rtq",,A62,"PctChg")</f>
        <v>38.730000000000004</v>
      </c>
      <c r="I62" s="2">
        <f>RTD("wdf.rtq",,A62,"Volume")</f>
        <v>258</v>
      </c>
      <c r="J62" s="2">
        <f>RTD("wdf.rtq",,A62, "rt_oi","RT_Price")</f>
        <v>2024</v>
      </c>
      <c r="K62" s="2">
        <f>RTD("wdf.rtq",,A62,"ImpliedVol")</f>
        <v>0.39450000000000002</v>
      </c>
      <c r="L62" s="2">
        <f>RTD("wdf.rtq",,A62, "rt_miv","RT_Price")</f>
        <v>0.38870000000000005</v>
      </c>
      <c r="M62" s="2">
        <f>RTD("wdf.rtq",,A62,"Delta")</f>
        <v>0.44980000000000003</v>
      </c>
      <c r="N62" s="2">
        <f ca="1">RTD("wdf.rtq",,$A62,N$2)</f>
        <v>6.8500000000000005E-2</v>
      </c>
      <c r="O62" s="2">
        <f ca="1">RTD("wdf.rtq",,$A62,O$2)</f>
        <v>2.0000000000000001E-4</v>
      </c>
      <c r="P62" s="2">
        <f ca="1">RTD("wdf.rtq",,$A62,P$2)</f>
        <v>-3.0000000000000003E-4</v>
      </c>
      <c r="Q62" s="3">
        <f>[1]!w_info_ptmtradeday(A62,"")</f>
        <v>114</v>
      </c>
      <c r="R62" s="1" t="str">
        <f>[1]!w_info_callput(A62)</f>
        <v>认购</v>
      </c>
      <c r="S62" s="7">
        <f>[1]!s_info_margin(A62)</f>
        <v>4924.8999999999996</v>
      </c>
    </row>
    <row r="63" spans="1:19" x14ac:dyDescent="0.25">
      <c r="A63" s="6" t="s">
        <v>78</v>
      </c>
      <c r="B63" s="9">
        <f>[1]!w_info_strikeprice(A63,"")</f>
        <v>4.3</v>
      </c>
      <c r="C63" s="2">
        <f>RTD("wdf.rtq",,A63,"LastPrice")</f>
        <v>0.26130000000000003</v>
      </c>
      <c r="D63" s="2">
        <f t="shared" si="0"/>
        <v>0.27515000000000001</v>
      </c>
      <c r="E63" s="2">
        <f>RTD("wdf.rtq",,A63,"Bid_Price1")</f>
        <v>0.26830000000000004</v>
      </c>
      <c r="F63" s="2">
        <f>RTD("wdf.rtq",,A63,"Ask_Price1")</f>
        <v>0.28200000000000003</v>
      </c>
      <c r="G63" s="2">
        <f>RTD("wdf.rtq",,A63,"Change")</f>
        <v>6.5500000000000003E-2</v>
      </c>
      <c r="H63" s="2">
        <f>RTD("wdf.rtq",,A63,"PctChg")</f>
        <v>33.450000000000003</v>
      </c>
      <c r="I63" s="2">
        <f>RTD("wdf.rtq",,A63,"Volume")</f>
        <v>415</v>
      </c>
      <c r="J63" s="2">
        <f>RTD("wdf.rtq",,A63, "rt_oi","RT_Price")</f>
        <v>2525</v>
      </c>
      <c r="K63" s="2">
        <f>RTD("wdf.rtq",,A63,"ImpliedVol")</f>
        <v>0.39030000000000004</v>
      </c>
      <c r="L63" s="2">
        <f>RTD("wdf.rtq",,A63, "rt_miv","RT_Price")</f>
        <v>0.39280000000000004</v>
      </c>
      <c r="M63" s="2">
        <f>RTD("wdf.rtq",,A63,"Delta")</f>
        <v>0.40490000000000004</v>
      </c>
      <c r="N63" s="2">
        <f ca="1">RTD("wdf.rtq",,$A63,N$2)</f>
        <v>6.8500000000000005E-2</v>
      </c>
      <c r="O63" s="2">
        <f ca="1">RTD("wdf.rtq",,$A63,O$2)</f>
        <v>2.0000000000000001E-4</v>
      </c>
      <c r="P63" s="2">
        <f ca="1">RTD("wdf.rtq",,$A63,P$2)</f>
        <v>-3.0000000000000003E-4</v>
      </c>
      <c r="Q63" s="3">
        <f>[1]!w_info_ptmtradeday(A63,"")</f>
        <v>114</v>
      </c>
      <c r="R63" s="1" t="str">
        <f>[1]!w_info_callput(A63)</f>
        <v>认购</v>
      </c>
      <c r="S63" s="7">
        <f>[1]!s_info_margin(A63)</f>
        <v>4664.8999999999996</v>
      </c>
    </row>
    <row r="64" spans="1:19" x14ac:dyDescent="0.25">
      <c r="A64" s="6" t="s">
        <v>79</v>
      </c>
      <c r="B64" s="9">
        <f>[1]!w_info_strikeprice(A64,"")</f>
        <v>4.4000000000000004</v>
      </c>
      <c r="C64" s="2">
        <f>RTD("wdf.rtq",,A64,"LastPrice")</f>
        <v>0.24690000000000001</v>
      </c>
      <c r="D64" s="2">
        <f t="shared" si="0"/>
        <v>0.24410000000000001</v>
      </c>
      <c r="E64" s="2">
        <f>RTD("wdf.rtq",,A64,"Bid_Price1")</f>
        <v>0.24020000000000002</v>
      </c>
      <c r="F64" s="2">
        <f>RTD("wdf.rtq",,A64,"Ask_Price1")</f>
        <v>0.248</v>
      </c>
      <c r="G64" s="2">
        <f>RTD("wdf.rtq",,A64,"Change")</f>
        <v>7.4900000000000008E-2</v>
      </c>
      <c r="H64" s="2">
        <f>RTD("wdf.rtq",,A64,"PctChg")</f>
        <v>43.55</v>
      </c>
      <c r="I64" s="2">
        <f>RTD("wdf.rtq",,A64,"Volume")</f>
        <v>1083</v>
      </c>
      <c r="J64" s="2">
        <f>RTD("wdf.rtq",,A64, "rt_oi","RT_Price")</f>
        <v>3172</v>
      </c>
      <c r="K64" s="2">
        <f>RTD("wdf.rtq",,A64,"ImpliedVol")</f>
        <v>0.39630000000000004</v>
      </c>
      <c r="L64" s="2">
        <f>RTD("wdf.rtq",,A64, "rt_miv","RT_Price")</f>
        <v>0.39190000000000003</v>
      </c>
      <c r="M64" s="2">
        <f>RTD("wdf.rtq",,A64,"Delta")</f>
        <v>0.38370000000000004</v>
      </c>
      <c r="N64" s="2">
        <f ca="1">RTD("wdf.rtq",,$A64,N$2)</f>
        <v>6.8500000000000005E-2</v>
      </c>
      <c r="O64" s="2">
        <f ca="1">RTD("wdf.rtq",,$A64,O$2)</f>
        <v>2.0000000000000001E-4</v>
      </c>
      <c r="P64" s="2">
        <f ca="1">RTD("wdf.rtq",,$A64,P$2)</f>
        <v>-3.0000000000000003E-4</v>
      </c>
      <c r="Q64" s="3">
        <f>[1]!w_info_ptmtradeday(A64,"")</f>
        <v>114</v>
      </c>
      <c r="R64" s="1" t="str">
        <f>[1]!w_info_callput(A64)</f>
        <v>认购</v>
      </c>
      <c r="S64" s="7">
        <f>[1]!s_info_margin(A64)</f>
        <v>4426.8999999999996</v>
      </c>
    </row>
    <row r="65" spans="1:19" x14ac:dyDescent="0.25">
      <c r="A65" s="6" t="s">
        <v>80</v>
      </c>
      <c r="B65" s="9">
        <f>[1]!w_info_strikeprice(A65,"")</f>
        <v>4.5</v>
      </c>
      <c r="C65" s="2">
        <f>RTD("wdf.rtq",,A65,"LastPrice")</f>
        <v>0.22070000000000001</v>
      </c>
      <c r="D65" s="2">
        <f t="shared" si="0"/>
        <v>0.21734999999999999</v>
      </c>
      <c r="E65" s="2">
        <f>RTD("wdf.rtq",,A65,"Bid_Price1")</f>
        <v>0.2152</v>
      </c>
      <c r="F65" s="2">
        <f>RTD("wdf.rtq",,A65,"Ask_Price1")</f>
        <v>0.2195</v>
      </c>
      <c r="G65" s="2">
        <f>RTD("wdf.rtq",,A65,"Change")</f>
        <v>6.7400000000000002E-2</v>
      </c>
      <c r="H65" s="2">
        <f>RTD("wdf.rtq",,A65,"PctChg")</f>
        <v>43.970000000000006</v>
      </c>
      <c r="I65" s="2">
        <f>RTD("wdf.rtq",,A65,"Volume")</f>
        <v>1477</v>
      </c>
      <c r="J65" s="2">
        <f>RTD("wdf.rtq",,A65, "rt_oi","RT_Price")</f>
        <v>5639</v>
      </c>
      <c r="K65" s="2">
        <f>RTD("wdf.rtq",,A65,"ImpliedVol")</f>
        <v>0.39540000000000003</v>
      </c>
      <c r="L65" s="2">
        <f>RTD("wdf.rtq",,A65, "rt_miv","RT_Price")</f>
        <v>0.39230000000000004</v>
      </c>
      <c r="M65" s="2">
        <f>RTD("wdf.rtq",,A65,"Delta")</f>
        <v>0.35310000000000002</v>
      </c>
      <c r="N65" s="2">
        <f ca="1">RTD("wdf.rtq",,$A65,N$2)</f>
        <v>6.8500000000000005E-2</v>
      </c>
      <c r="O65" s="2">
        <f ca="1">RTD("wdf.rtq",,$A65,O$2)</f>
        <v>2.0000000000000001E-4</v>
      </c>
      <c r="P65" s="2">
        <f ca="1">RTD("wdf.rtq",,$A65,P$2)</f>
        <v>-3.0000000000000003E-4</v>
      </c>
      <c r="Q65" s="3">
        <f>[1]!w_info_ptmtradeday(A65,"")</f>
        <v>114</v>
      </c>
      <c r="R65" s="1" t="str">
        <f>[1]!w_info_callput(A65)</f>
        <v>认购</v>
      </c>
      <c r="S65" s="7">
        <f>[1]!s_info_margin(A65)</f>
        <v>4239.8999999999996</v>
      </c>
    </row>
    <row r="66" spans="1:19" x14ac:dyDescent="0.25">
      <c r="A66" s="6" t="s">
        <v>81</v>
      </c>
      <c r="B66" s="9">
        <f>[1]!w_info_strikeprice(A66,"")</f>
        <v>4.5999999999999996</v>
      </c>
      <c r="C66" s="2">
        <f>RTD("wdf.rtq",,A66,"LastPrice")</f>
        <v>0.1961</v>
      </c>
      <c r="D66" s="2">
        <f t="shared" si="0"/>
        <v>0.19764999999999999</v>
      </c>
      <c r="E66" s="2">
        <f>RTD("wdf.rtq",,A66,"Bid_Price1")</f>
        <v>0.19270000000000001</v>
      </c>
      <c r="F66" s="2">
        <f>RTD("wdf.rtq",,A66,"Ask_Price1")</f>
        <v>0.2026</v>
      </c>
      <c r="G66" s="2">
        <f>RTD("wdf.rtq",,A66,"Change")</f>
        <v>6.1500000000000006E-2</v>
      </c>
      <c r="H66" s="2">
        <f>RTD("wdf.rtq",,A66,"PctChg")</f>
        <v>45.690000000000005</v>
      </c>
      <c r="I66" s="2">
        <f>RTD("wdf.rtq",,A66,"Volume")</f>
        <v>578</v>
      </c>
      <c r="J66" s="2">
        <f>RTD("wdf.rtq",,A66, "rt_oi","RT_Price")</f>
        <v>1606</v>
      </c>
      <c r="K66" s="2">
        <f>RTD("wdf.rtq",,A66,"ImpliedVol")</f>
        <v>0.3977</v>
      </c>
      <c r="L66" s="2">
        <f>RTD("wdf.rtq",,A66, "rt_miv","RT_Price")</f>
        <v>0.39740000000000003</v>
      </c>
      <c r="M66" s="2">
        <f>RTD("wdf.rtq",,A66,"Delta")</f>
        <v>0.32400000000000001</v>
      </c>
      <c r="N66" s="2">
        <f ca="1">RTD("wdf.rtq",,$A66,N$2)</f>
        <v>6.8500000000000005E-2</v>
      </c>
      <c r="O66" s="2">
        <f ca="1">RTD("wdf.rtq",,$A66,O$2)</f>
        <v>2.0000000000000001E-4</v>
      </c>
      <c r="P66" s="2">
        <f ca="1">RTD("wdf.rtq",,$A66,P$2)</f>
        <v>-3.0000000000000003E-4</v>
      </c>
      <c r="Q66" s="3">
        <f>[1]!w_info_ptmtradeday(A66,"")</f>
        <v>114</v>
      </c>
      <c r="R66" s="1" t="str">
        <f>[1]!w_info_callput(A66)</f>
        <v>认购</v>
      </c>
      <c r="S66" s="7">
        <f>[1]!s_info_margin(A66)</f>
        <v>4052.9</v>
      </c>
    </row>
    <row r="67" spans="1:19" x14ac:dyDescent="0.25">
      <c r="A67" s="6" t="s">
        <v>82</v>
      </c>
      <c r="B67" s="9">
        <f>[1]!w_info_strikeprice(A67,"")</f>
        <v>4.7</v>
      </c>
      <c r="C67" s="2">
        <f>RTD("wdf.rtq",,A67,"LastPrice")</f>
        <v>0.1792</v>
      </c>
      <c r="D67" s="2">
        <f t="shared" ref="D67:D130" si="1">AVERAGE(E67:F67)</f>
        <v>0.17820000000000003</v>
      </c>
      <c r="E67" s="2">
        <f>RTD("wdf.rtq",,A67,"Bid_Price1")</f>
        <v>0.17430000000000001</v>
      </c>
      <c r="F67" s="2">
        <f>RTD("wdf.rtq",,A67,"Ask_Price1")</f>
        <v>0.18210000000000001</v>
      </c>
      <c r="G67" s="2">
        <f>RTD("wdf.rtq",,A67,"Change")</f>
        <v>5.9300000000000005E-2</v>
      </c>
      <c r="H67" s="2">
        <f>RTD("wdf.rtq",,A67,"PctChg")</f>
        <v>49.46</v>
      </c>
      <c r="I67" s="2">
        <f>RTD("wdf.rtq",,A67,"Volume")</f>
        <v>468</v>
      </c>
      <c r="J67" s="2">
        <f>RTD("wdf.rtq",,A67, "rt_oi","RT_Price")</f>
        <v>1219</v>
      </c>
      <c r="K67" s="2">
        <f>RTD("wdf.rtq",,A67,"ImpliedVol")</f>
        <v>0.40300000000000002</v>
      </c>
      <c r="L67" s="2">
        <f>RTD("wdf.rtq",,A67, "rt_miv","RT_Price")</f>
        <v>0.40040000000000003</v>
      </c>
      <c r="M67" s="2">
        <f>RTD("wdf.rtq",,A67,"Delta")</f>
        <v>0.29970000000000002</v>
      </c>
      <c r="N67" s="2">
        <f ca="1">RTD("wdf.rtq",,$A67,N$2)</f>
        <v>6.8500000000000005E-2</v>
      </c>
      <c r="O67" s="2">
        <f ca="1">RTD("wdf.rtq",,$A67,O$2)</f>
        <v>2.0000000000000001E-4</v>
      </c>
      <c r="P67" s="2">
        <f ca="1">RTD("wdf.rtq",,$A67,P$2)</f>
        <v>-3.0000000000000003E-4</v>
      </c>
      <c r="Q67" s="3">
        <f>[1]!w_info_ptmtradeday(A67,"")</f>
        <v>114</v>
      </c>
      <c r="R67" s="1" t="str">
        <f>[1]!w_info_callput(A67)</f>
        <v>认购</v>
      </c>
      <c r="S67" s="7">
        <f>[1]!s_info_margin(A67)</f>
        <v>3905.9</v>
      </c>
    </row>
    <row r="68" spans="1:19" x14ac:dyDescent="0.25">
      <c r="A68" s="6" t="s">
        <v>83</v>
      </c>
      <c r="B68" s="9">
        <f>[1]!w_info_strikeprice(A68,"")</f>
        <v>4.8</v>
      </c>
      <c r="C68" s="2">
        <f>RTD("wdf.rtq",,A68,"LastPrice")</f>
        <v>0.15970000000000001</v>
      </c>
      <c r="D68" s="2">
        <f t="shared" si="1"/>
        <v>0.15945000000000001</v>
      </c>
      <c r="E68" s="2">
        <f>RTD("wdf.rtq",,A68,"Bid_Price1")</f>
        <v>0.15890000000000001</v>
      </c>
      <c r="F68" s="2">
        <f>RTD("wdf.rtq",,A68,"Ask_Price1")</f>
        <v>0.16</v>
      </c>
      <c r="G68" s="2">
        <f>RTD("wdf.rtq",,A68,"Change")</f>
        <v>5.3700000000000005E-2</v>
      </c>
      <c r="H68" s="2">
        <f>RTD("wdf.rtq",,A68,"PctChg")</f>
        <v>50.660000000000004</v>
      </c>
      <c r="I68" s="2">
        <f>RTD("wdf.rtq",,A68,"Volume")</f>
        <v>1355</v>
      </c>
      <c r="J68" s="2">
        <f>RTD("wdf.rtq",,A68, "rt_oi","RT_Price")</f>
        <v>2646</v>
      </c>
      <c r="K68" s="2">
        <f>RTD("wdf.rtq",,A68,"ImpliedVol")</f>
        <v>0.40160000000000001</v>
      </c>
      <c r="L68" s="2">
        <f>RTD("wdf.rtq",,A68, "rt_miv","RT_Price")</f>
        <v>0.40200000000000002</v>
      </c>
      <c r="M68" s="2">
        <f>RTD("wdf.rtq",,A68,"Delta")</f>
        <v>0.27379999999999999</v>
      </c>
      <c r="N68" s="2">
        <f ca="1">RTD("wdf.rtq",,$A68,N$2)</f>
        <v>6.8500000000000005E-2</v>
      </c>
      <c r="O68" s="2">
        <f ca="1">RTD("wdf.rtq",,$A68,O$2)</f>
        <v>2.0000000000000001E-4</v>
      </c>
      <c r="P68" s="2">
        <f ca="1">RTD("wdf.rtq",,$A68,P$2)</f>
        <v>-3.0000000000000003E-4</v>
      </c>
      <c r="Q68" s="3">
        <f>[1]!w_info_ptmtradeday(A68,"")</f>
        <v>114</v>
      </c>
      <c r="R68" s="1" t="str">
        <f>[1]!w_info_callput(A68)</f>
        <v>认购</v>
      </c>
      <c r="S68" s="7">
        <f>[1]!s_info_margin(A68)</f>
        <v>3766.9</v>
      </c>
    </row>
    <row r="69" spans="1:19" x14ac:dyDescent="0.25">
      <c r="A69" s="6" t="s">
        <v>84</v>
      </c>
      <c r="B69" s="9">
        <f>[1]!w_info_strikeprice(A69,"")</f>
        <v>3.4</v>
      </c>
      <c r="C69" s="2">
        <f>RTD("wdf.rtq",,A69,"LastPrice")</f>
        <v>2.4000000000000002E-3</v>
      </c>
      <c r="D69" s="2">
        <f t="shared" si="1"/>
        <v>2.4499999999999999E-3</v>
      </c>
      <c r="E69" s="2">
        <f>RTD("wdf.rtq",,A69,"Bid_Price1")</f>
        <v>2.4000000000000002E-3</v>
      </c>
      <c r="F69" s="2">
        <f>RTD("wdf.rtq",,A69,"Ask_Price1")</f>
        <v>2.5000000000000001E-3</v>
      </c>
      <c r="G69" s="2">
        <f>RTD("wdf.rtq",,A69,"Change")</f>
        <v>-4.1000000000000003E-3</v>
      </c>
      <c r="H69" s="2">
        <f>RTD("wdf.rtq",,A69,"PctChg")</f>
        <v>-63.080000000000005</v>
      </c>
      <c r="I69" s="2">
        <f>RTD("wdf.rtq",,A69,"Volume")</f>
        <v>86419</v>
      </c>
      <c r="J69" s="2">
        <f>RTD("wdf.rtq",,A69, "rt_oi","RT_Price")</f>
        <v>55237</v>
      </c>
      <c r="K69" s="2">
        <f>RTD("wdf.rtq",,A69,"ImpliedVol")</f>
        <v>0.4355</v>
      </c>
      <c r="L69" s="2">
        <f>RTD("wdf.rtq",,A69, "rt_miv","RT_Price")</f>
        <v>0.43670000000000003</v>
      </c>
      <c r="M69" s="2">
        <f>RTD("wdf.rtq",,A69,"Delta")</f>
        <v>-1.89E-2</v>
      </c>
      <c r="N69" s="2">
        <f ca="1">RTD("wdf.rtq",,$A69,N$2)</f>
        <v>6.8500000000000005E-2</v>
      </c>
      <c r="O69" s="2">
        <f ca="1">RTD("wdf.rtq",,$A69,O$2)</f>
        <v>2.0000000000000001E-4</v>
      </c>
      <c r="P69" s="2">
        <f ca="1">RTD("wdf.rtq",,$A69,P$2)</f>
        <v>-3.0000000000000003E-4</v>
      </c>
      <c r="Q69" s="3">
        <f>[1]!w_info_ptmtradeday(A69,"")</f>
        <v>10</v>
      </c>
      <c r="R69" s="1" t="str">
        <f>[1]!w_info_callput(A69)</f>
        <v>认沽</v>
      </c>
      <c r="S69" s="7">
        <f>[1]!s_info_margin(A69)</f>
        <v>2436</v>
      </c>
    </row>
    <row r="70" spans="1:19" x14ac:dyDescent="0.25">
      <c r="A70" s="6" t="s">
        <v>85</v>
      </c>
      <c r="B70" s="9">
        <f>[1]!w_info_strikeprice(A70,"")</f>
        <v>3.5</v>
      </c>
      <c r="C70" s="2">
        <f>RTD("wdf.rtq",,A70,"LastPrice")</f>
        <v>5.1000000000000004E-3</v>
      </c>
      <c r="D70" s="2">
        <f t="shared" si="1"/>
        <v>5.0000000000000001E-3</v>
      </c>
      <c r="E70" s="2">
        <f>RTD("wdf.rtq",,A70,"Bid_Price1")</f>
        <v>4.8999999999999998E-3</v>
      </c>
      <c r="F70" s="2">
        <f>RTD("wdf.rtq",,A70,"Ask_Price1")</f>
        <v>5.1000000000000004E-3</v>
      </c>
      <c r="G70" s="2">
        <f>RTD("wdf.rtq",,A70,"Change")</f>
        <v>-8.8000000000000005E-3</v>
      </c>
      <c r="H70" s="2">
        <f>RTD("wdf.rtq",,A70,"PctChg")</f>
        <v>-63.31</v>
      </c>
      <c r="I70" s="2">
        <f>RTD("wdf.rtq",,A70,"Volume")</f>
        <v>58158</v>
      </c>
      <c r="J70" s="2">
        <f>RTD("wdf.rtq",,A70, "rt_oi","RT_Price")</f>
        <v>37045</v>
      </c>
      <c r="K70" s="2">
        <f>RTD("wdf.rtq",,A70,"ImpliedVol")</f>
        <v>0.42320000000000002</v>
      </c>
      <c r="L70" s="2">
        <f>RTD("wdf.rtq",,A70, "rt_miv","RT_Price")</f>
        <v>0.42150000000000004</v>
      </c>
      <c r="M70" s="2">
        <f>RTD("wdf.rtq",,A70,"Delta")</f>
        <v>-3.7600000000000001E-2</v>
      </c>
      <c r="N70" s="2">
        <f ca="1">RTD("wdf.rtq",,$A70,N$2)</f>
        <v>6.8500000000000005E-2</v>
      </c>
      <c r="O70" s="2">
        <f ca="1">RTD("wdf.rtq",,$A70,O$2)</f>
        <v>2.0000000000000001E-4</v>
      </c>
      <c r="P70" s="2">
        <f ca="1">RTD("wdf.rtq",,$A70,P$2)</f>
        <v>-3.0000000000000003E-4</v>
      </c>
      <c r="Q70" s="3">
        <f>[1]!w_info_ptmtradeday(A70,"")</f>
        <v>10</v>
      </c>
      <c r="R70" s="1" t="str">
        <f>[1]!w_info_callput(A70)</f>
        <v>认沽</v>
      </c>
      <c r="S70" s="7">
        <f>[1]!s_info_margin(A70)</f>
        <v>2564</v>
      </c>
    </row>
    <row r="71" spans="1:19" x14ac:dyDescent="0.25">
      <c r="A71" s="6" t="s">
        <v>86</v>
      </c>
      <c r="B71" s="9">
        <f>[1]!w_info_strikeprice(A71,"")</f>
        <v>3.6</v>
      </c>
      <c r="C71" s="2">
        <f>RTD("wdf.rtq",,A71,"LastPrice")</f>
        <v>9.7000000000000003E-3</v>
      </c>
      <c r="D71" s="2">
        <f t="shared" si="1"/>
        <v>9.7999999999999997E-3</v>
      </c>
      <c r="E71" s="2">
        <f>RTD("wdf.rtq",,A71,"Bid_Price1")</f>
        <v>9.7000000000000003E-3</v>
      </c>
      <c r="F71" s="2">
        <f>RTD("wdf.rtq",,A71,"Ask_Price1")</f>
        <v>9.9000000000000008E-3</v>
      </c>
      <c r="G71" s="2">
        <f>RTD("wdf.rtq",,A71,"Change")</f>
        <v>-1.9E-2</v>
      </c>
      <c r="H71" s="2">
        <f>RTD("wdf.rtq",,A71,"PctChg")</f>
        <v>-66.2</v>
      </c>
      <c r="I71" s="2">
        <f>RTD("wdf.rtq",,A71,"Volume")</f>
        <v>114951</v>
      </c>
      <c r="J71" s="2">
        <f>RTD("wdf.rtq",,A71, "rt_oi","RT_Price")</f>
        <v>56775</v>
      </c>
      <c r="K71" s="2">
        <f>RTD("wdf.rtq",,A71,"ImpliedVol")</f>
        <v>0.40570000000000001</v>
      </c>
      <c r="L71" s="2">
        <f>RTD("wdf.rtq",,A71, "rt_miv","RT_Price")</f>
        <v>0.40650000000000003</v>
      </c>
      <c r="M71" s="2">
        <f>RTD("wdf.rtq",,A71,"Delta")</f>
        <v>-6.7799999999999999E-2</v>
      </c>
      <c r="N71" s="2">
        <f ca="1">RTD("wdf.rtq",,$A71,N$2)</f>
        <v>6.8500000000000005E-2</v>
      </c>
      <c r="O71" s="2">
        <f ca="1">RTD("wdf.rtq",,$A71,O$2)</f>
        <v>2.0000000000000001E-4</v>
      </c>
      <c r="P71" s="2">
        <f ca="1">RTD("wdf.rtq",,$A71,P$2)</f>
        <v>-3.0000000000000003E-4</v>
      </c>
      <c r="Q71" s="3">
        <f>[1]!w_info_ptmtradeday(A71,"")</f>
        <v>10</v>
      </c>
      <c r="R71" s="1" t="str">
        <f>[1]!w_info_callput(A71)</f>
        <v>认沽</v>
      </c>
      <c r="S71" s="7">
        <f>[1]!s_info_margin(A71)</f>
        <v>2749</v>
      </c>
    </row>
    <row r="72" spans="1:19" x14ac:dyDescent="0.25">
      <c r="A72" s="6" t="s">
        <v>87</v>
      </c>
      <c r="B72" s="9">
        <f>[1]!w_info_strikeprice(A72,"")</f>
        <v>3.7</v>
      </c>
      <c r="C72" s="2">
        <f>RTD("wdf.rtq",,A72,"LastPrice")</f>
        <v>0.02</v>
      </c>
      <c r="D72" s="2">
        <f t="shared" si="1"/>
        <v>2.01E-2</v>
      </c>
      <c r="E72" s="2">
        <f>RTD("wdf.rtq",,A72,"Bid_Price1")</f>
        <v>0.02</v>
      </c>
      <c r="F72" s="2">
        <f>RTD("wdf.rtq",,A72,"Ask_Price1")</f>
        <v>2.0200000000000003E-2</v>
      </c>
      <c r="G72" s="2">
        <f>RTD("wdf.rtq",,A72,"Change")</f>
        <v>-3.44E-2</v>
      </c>
      <c r="H72" s="2">
        <f>RTD("wdf.rtq",,A72,"PctChg")</f>
        <v>-63.240000000000009</v>
      </c>
      <c r="I72" s="2">
        <f>RTD("wdf.rtq",,A72,"Volume")</f>
        <v>124015</v>
      </c>
      <c r="J72" s="2">
        <f>RTD("wdf.rtq",,A72, "rt_oi","RT_Price")</f>
        <v>67231</v>
      </c>
      <c r="K72" s="2">
        <f>RTD("wdf.rtq",,A72,"ImpliedVol")</f>
        <v>0.40200000000000002</v>
      </c>
      <c r="L72" s="2">
        <f>RTD("wdf.rtq",,A72, "rt_miv","RT_Price")</f>
        <v>0.40240000000000004</v>
      </c>
      <c r="M72" s="2">
        <f>RTD("wdf.rtq",,A72,"Delta")</f>
        <v>-0.1246</v>
      </c>
      <c r="N72" s="2">
        <f ca="1">RTD("wdf.rtq",,$A72,N$2)</f>
        <v>6.8500000000000005E-2</v>
      </c>
      <c r="O72" s="2">
        <f ca="1">RTD("wdf.rtq",,$A72,O$2)</f>
        <v>2.0000000000000001E-4</v>
      </c>
      <c r="P72" s="2">
        <f ca="1">RTD("wdf.rtq",,$A72,P$2)</f>
        <v>-3.0000000000000003E-4</v>
      </c>
      <c r="Q72" s="3">
        <f>[1]!w_info_ptmtradeday(A72,"")</f>
        <v>10</v>
      </c>
      <c r="R72" s="1" t="str">
        <f>[1]!w_info_callput(A72)</f>
        <v>认沽</v>
      </c>
      <c r="S72" s="7">
        <f>[1]!s_info_margin(A72)</f>
        <v>3001</v>
      </c>
    </row>
    <row r="73" spans="1:19" x14ac:dyDescent="0.25">
      <c r="A73" s="6" t="s">
        <v>88</v>
      </c>
      <c r="B73" s="9">
        <f>[1]!w_info_strikeprice(A73,"")</f>
        <v>3.8</v>
      </c>
      <c r="C73" s="2">
        <f>RTD("wdf.rtq",,A73,"LastPrice")</f>
        <v>3.7700000000000004E-2</v>
      </c>
      <c r="D73" s="2">
        <f t="shared" si="1"/>
        <v>3.7650000000000003E-2</v>
      </c>
      <c r="E73" s="2">
        <f>RTD("wdf.rtq",,A73,"Bid_Price1")</f>
        <v>3.7600000000000001E-2</v>
      </c>
      <c r="F73" s="2">
        <f>RTD("wdf.rtq",,A73,"Ask_Price1")</f>
        <v>3.7700000000000004E-2</v>
      </c>
      <c r="G73" s="2">
        <f>RTD("wdf.rtq",,A73,"Change")</f>
        <v>-5.11E-2</v>
      </c>
      <c r="H73" s="2">
        <f>RTD("wdf.rtq",,A73,"PctChg")</f>
        <v>-57.550000000000004</v>
      </c>
      <c r="I73" s="2">
        <f>RTD("wdf.rtq",,A73,"Volume")</f>
        <v>170707</v>
      </c>
      <c r="J73" s="2">
        <f>RTD("wdf.rtq",,A73, "rt_oi","RT_Price")</f>
        <v>60241</v>
      </c>
      <c r="K73" s="2">
        <f>RTD("wdf.rtq",,A73,"ImpliedVol")</f>
        <v>0.39850000000000002</v>
      </c>
      <c r="L73" s="2">
        <f>RTD("wdf.rtq",,A73, "rt_miv","RT_Price")</f>
        <v>0.39800000000000002</v>
      </c>
      <c r="M73" s="2">
        <f>RTD("wdf.rtq",,A73,"Delta")</f>
        <v>-0.20760000000000001</v>
      </c>
      <c r="N73" s="2">
        <f ca="1">RTD("wdf.rtq",,$A73,N$2)</f>
        <v>6.8500000000000005E-2</v>
      </c>
      <c r="O73" s="2">
        <f ca="1">RTD("wdf.rtq",,$A73,O$2)</f>
        <v>2.0000000000000001E-4</v>
      </c>
      <c r="P73" s="2">
        <f ca="1">RTD("wdf.rtq",,$A73,P$2)</f>
        <v>-3.0000000000000003E-4</v>
      </c>
      <c r="Q73" s="3">
        <f>[1]!w_info_ptmtradeday(A73,"")</f>
        <v>10</v>
      </c>
      <c r="R73" s="1" t="str">
        <f>[1]!w_info_callput(A73)</f>
        <v>认沽</v>
      </c>
      <c r="S73" s="7">
        <f>[1]!s_info_margin(A73)</f>
        <v>4108.3999999999996</v>
      </c>
    </row>
    <row r="74" spans="1:19" x14ac:dyDescent="0.25">
      <c r="A74" s="6" t="s">
        <v>89</v>
      </c>
      <c r="B74" s="9">
        <f>[1]!w_info_strikeprice(A74,"")</f>
        <v>3.9</v>
      </c>
      <c r="C74" s="2">
        <f>RTD("wdf.rtq",,A74,"LastPrice")</f>
        <v>6.5299999999999997E-2</v>
      </c>
      <c r="D74" s="2">
        <f t="shared" si="1"/>
        <v>6.5349999999999991E-2</v>
      </c>
      <c r="E74" s="2">
        <f>RTD("wdf.rtq",,A74,"Bid_Price1")</f>
        <v>6.5299999999999997E-2</v>
      </c>
      <c r="F74" s="2">
        <f>RTD("wdf.rtq",,A74,"Ask_Price1")</f>
        <v>6.54E-2</v>
      </c>
      <c r="G74" s="2">
        <f>RTD("wdf.rtq",,A74,"Change")</f>
        <v>-7.3800000000000004E-2</v>
      </c>
      <c r="H74" s="2">
        <f>RTD("wdf.rtq",,A74,"PctChg")</f>
        <v>-53.060000000000009</v>
      </c>
      <c r="I74" s="2">
        <f>RTD("wdf.rtq",,A74,"Volume")</f>
        <v>198789</v>
      </c>
      <c r="J74" s="2">
        <f>RTD("wdf.rtq",,A74, "rt_oi","RT_Price")</f>
        <v>61113</v>
      </c>
      <c r="K74" s="2">
        <f>RTD("wdf.rtq",,A74,"ImpliedVol")</f>
        <v>0.39500000000000002</v>
      </c>
      <c r="L74" s="2">
        <f>RTD("wdf.rtq",,A74, "rt_miv","RT_Price")</f>
        <v>0.39480000000000004</v>
      </c>
      <c r="M74" s="2">
        <f>RTD("wdf.rtq",,A74,"Delta")</f>
        <v>-0.3155</v>
      </c>
      <c r="N74" s="2">
        <f ca="1">RTD("wdf.rtq",,$A74,N$2)</f>
        <v>6.8500000000000005E-2</v>
      </c>
      <c r="O74" s="2">
        <f ca="1">RTD("wdf.rtq",,$A74,O$2)</f>
        <v>2.0000000000000001E-4</v>
      </c>
      <c r="P74" s="2">
        <f ca="1">RTD("wdf.rtq",,$A74,P$2)</f>
        <v>-3.0000000000000003E-4</v>
      </c>
      <c r="Q74" s="3">
        <f>[1]!w_info_ptmtradeday(A74,"")</f>
        <v>10</v>
      </c>
      <c r="R74" s="1" t="str">
        <f>[1]!w_info_callput(A74)</f>
        <v>认沽</v>
      </c>
      <c r="S74" s="7">
        <f>[1]!s_info_margin(A74)</f>
        <v>5501.4</v>
      </c>
    </row>
    <row r="75" spans="1:19" x14ac:dyDescent="0.25">
      <c r="A75" s="6" t="s">
        <v>90</v>
      </c>
      <c r="B75" s="9">
        <f>[1]!w_info_strikeprice(A75,"")</f>
        <v>4</v>
      </c>
      <c r="C75" s="2">
        <f>RTD("wdf.rtq",,A75,"LastPrice")</f>
        <v>0.1076</v>
      </c>
      <c r="D75" s="2">
        <f t="shared" si="1"/>
        <v>0.1071</v>
      </c>
      <c r="E75" s="2">
        <f>RTD("wdf.rtq",,A75,"Bid_Price1")</f>
        <v>0.1066</v>
      </c>
      <c r="F75" s="2">
        <f>RTD("wdf.rtq",,A75,"Ask_Price1")</f>
        <v>0.1076</v>
      </c>
      <c r="G75" s="2">
        <f>RTD("wdf.rtq",,A75,"Change")</f>
        <v>-9.5600000000000004E-2</v>
      </c>
      <c r="H75" s="2">
        <f>RTD("wdf.rtq",,A75,"PctChg")</f>
        <v>-47.050000000000004</v>
      </c>
      <c r="I75" s="2">
        <f>RTD("wdf.rtq",,A75,"Volume")</f>
        <v>116253</v>
      </c>
      <c r="J75" s="2">
        <f>RTD("wdf.rtq",,A75, "rt_oi","RT_Price")</f>
        <v>55028</v>
      </c>
      <c r="K75" s="2">
        <f>RTD("wdf.rtq",,A75,"ImpliedVol")</f>
        <v>0.40030000000000004</v>
      </c>
      <c r="L75" s="2">
        <f>RTD("wdf.rtq",,A75, "rt_miv","RT_Price")</f>
        <v>0.3982</v>
      </c>
      <c r="M75" s="2">
        <f>RTD("wdf.rtq",,A75,"Delta")</f>
        <v>-0.4415</v>
      </c>
      <c r="N75" s="2">
        <f ca="1">RTD("wdf.rtq",,$A75,N$2)</f>
        <v>6.8500000000000005E-2</v>
      </c>
      <c r="O75" s="2">
        <f ca="1">RTD("wdf.rtq",,$A75,O$2)</f>
        <v>2.0000000000000001E-4</v>
      </c>
      <c r="P75" s="2">
        <f ca="1">RTD("wdf.rtq",,$A75,P$2)</f>
        <v>-3.0000000000000003E-4</v>
      </c>
      <c r="Q75" s="3">
        <f>[1]!w_info_ptmtradeday(A75,"")</f>
        <v>10</v>
      </c>
      <c r="R75" s="1" t="str">
        <f>[1]!w_info_callput(A75)</f>
        <v>认沽</v>
      </c>
      <c r="S75" s="7">
        <f>[1]!s_info_margin(A75)</f>
        <v>6384.4</v>
      </c>
    </row>
    <row r="76" spans="1:19" x14ac:dyDescent="0.25">
      <c r="A76" s="6" t="s">
        <v>91</v>
      </c>
      <c r="B76" s="9">
        <f>[1]!w_info_strikeprice(A76,"")</f>
        <v>4.0999999999999996</v>
      </c>
      <c r="C76" s="2">
        <f>RTD("wdf.rtq",,A76,"LastPrice")</f>
        <v>0.16390000000000002</v>
      </c>
      <c r="D76" s="2">
        <f t="shared" si="1"/>
        <v>0.16395000000000001</v>
      </c>
      <c r="E76" s="2">
        <f>RTD("wdf.rtq",,A76,"Bid_Price1")</f>
        <v>0.16390000000000002</v>
      </c>
      <c r="F76" s="2">
        <f>RTD("wdf.rtq",,A76,"Ask_Price1")</f>
        <v>0.16400000000000001</v>
      </c>
      <c r="G76" s="2">
        <f>RTD("wdf.rtq",,A76,"Change")</f>
        <v>-0.11410000000000001</v>
      </c>
      <c r="H76" s="2">
        <f>RTD("wdf.rtq",,A76,"PctChg")</f>
        <v>-41.040000000000006</v>
      </c>
      <c r="I76" s="2">
        <f>RTD("wdf.rtq",,A76,"Volume")</f>
        <v>48084</v>
      </c>
      <c r="J76" s="2">
        <f>RTD("wdf.rtq",,A76, "rt_oi","RT_Price")</f>
        <v>32556</v>
      </c>
      <c r="K76" s="2">
        <f>RTD("wdf.rtq",,A76,"ImpliedVol")</f>
        <v>0.40920000000000001</v>
      </c>
      <c r="L76" s="2">
        <f>RTD("wdf.rtq",,A76, "rt_miv","RT_Price")</f>
        <v>0.4088</v>
      </c>
      <c r="M76" s="2">
        <f>RTD("wdf.rtq",,A76,"Delta")</f>
        <v>-0.56640000000000001</v>
      </c>
      <c r="N76" s="2">
        <f ca="1">RTD("wdf.rtq",,$A76,N$2)</f>
        <v>6.8500000000000005E-2</v>
      </c>
      <c r="O76" s="2">
        <f ca="1">RTD("wdf.rtq",,$A76,O$2)</f>
        <v>2.0000000000000001E-4</v>
      </c>
      <c r="P76" s="2">
        <f ca="1">RTD("wdf.rtq",,$A76,P$2)</f>
        <v>-3.0000000000000003E-4</v>
      </c>
      <c r="Q76" s="3">
        <f>[1]!w_info_ptmtradeday(A76,"")</f>
        <v>10</v>
      </c>
      <c r="R76" s="1" t="str">
        <f>[1]!w_info_callput(A76)</f>
        <v>认沽</v>
      </c>
      <c r="S76" s="7">
        <f>[1]!s_info_margin(A76)</f>
        <v>7069.4</v>
      </c>
    </row>
    <row r="77" spans="1:19" x14ac:dyDescent="0.25">
      <c r="A77" s="6" t="s">
        <v>92</v>
      </c>
      <c r="B77" s="9">
        <f>[1]!w_info_strikeprice(A77,"")</f>
        <v>4.2</v>
      </c>
      <c r="C77" s="2">
        <f>RTD("wdf.rtq",,A77,"LastPrice")</f>
        <v>0.23280000000000001</v>
      </c>
      <c r="D77" s="2">
        <f t="shared" si="1"/>
        <v>0.23285</v>
      </c>
      <c r="E77" s="2">
        <f>RTD("wdf.rtq",,A77,"Bid_Price1")</f>
        <v>0.23280000000000001</v>
      </c>
      <c r="F77" s="2">
        <f>RTD("wdf.rtq",,A77,"Ask_Price1")</f>
        <v>0.23290000000000002</v>
      </c>
      <c r="G77" s="2">
        <f>RTD("wdf.rtq",,A77,"Change")</f>
        <v>-0.1331</v>
      </c>
      <c r="H77" s="2">
        <f>RTD("wdf.rtq",,A77,"PctChg")</f>
        <v>-36.380000000000003</v>
      </c>
      <c r="I77" s="2">
        <f>RTD("wdf.rtq",,A77,"Volume")</f>
        <v>22258</v>
      </c>
      <c r="J77" s="2">
        <f>RTD("wdf.rtq",,A77, "rt_oi","RT_Price")</f>
        <v>34456</v>
      </c>
      <c r="K77" s="2">
        <f>RTD("wdf.rtq",,A77,"ImpliedVol")</f>
        <v>0.42150000000000004</v>
      </c>
      <c r="L77" s="2">
        <f>RTD("wdf.rtq",,A77, "rt_miv","RT_Price")</f>
        <v>0.42100000000000004</v>
      </c>
      <c r="M77" s="2">
        <f>RTD("wdf.rtq",,A77,"Delta")</f>
        <v>-0.67590000000000006</v>
      </c>
      <c r="N77" s="2">
        <f ca="1">RTD("wdf.rtq",,$A77,N$2)</f>
        <v>6.8500000000000005E-2</v>
      </c>
      <c r="O77" s="2">
        <f ca="1">RTD("wdf.rtq",,$A77,O$2)</f>
        <v>2.0000000000000001E-4</v>
      </c>
      <c r="P77" s="2">
        <f ca="1">RTD("wdf.rtq",,$A77,P$2)</f>
        <v>-3.0000000000000003E-4</v>
      </c>
      <c r="Q77" s="3">
        <f>[1]!w_info_ptmtradeday(A77,"")</f>
        <v>10</v>
      </c>
      <c r="R77" s="1" t="str">
        <f>[1]!w_info_callput(A77)</f>
        <v>认沽</v>
      </c>
      <c r="S77" s="7">
        <f>[1]!s_info_margin(A77)</f>
        <v>7847.4</v>
      </c>
    </row>
    <row r="78" spans="1:19" x14ac:dyDescent="0.25">
      <c r="A78" s="6" t="s">
        <v>93</v>
      </c>
      <c r="B78" s="9">
        <f>[1]!w_info_strikeprice(A78,"")</f>
        <v>4.3</v>
      </c>
      <c r="C78" s="2">
        <f>RTD("wdf.rtq",,A78,"LastPrice")</f>
        <v>0.31320000000000003</v>
      </c>
      <c r="D78" s="2">
        <f t="shared" si="1"/>
        <v>0.31459999999999999</v>
      </c>
      <c r="E78" s="2">
        <f>RTD("wdf.rtq",,A78,"Bid_Price1")</f>
        <v>0.31320000000000003</v>
      </c>
      <c r="F78" s="2">
        <f>RTD("wdf.rtq",,A78,"Ask_Price1")</f>
        <v>0.316</v>
      </c>
      <c r="G78" s="2">
        <f>RTD("wdf.rtq",,A78,"Change")</f>
        <v>-0.1424</v>
      </c>
      <c r="H78" s="2">
        <f>RTD("wdf.rtq",,A78,"PctChg")</f>
        <v>-31.259999999999998</v>
      </c>
      <c r="I78" s="2">
        <f>RTD("wdf.rtq",,A78,"Volume")</f>
        <v>12553</v>
      </c>
      <c r="J78" s="2">
        <f>RTD("wdf.rtq",,A78, "rt_oi","RT_Price")</f>
        <v>31598</v>
      </c>
      <c r="K78" s="2">
        <f>RTD("wdf.rtq",,A78,"ImpliedVol")</f>
        <v>0.44340000000000002</v>
      </c>
      <c r="L78" s="2">
        <f>RTD("wdf.rtq",,A78, "rt_miv","RT_Price")</f>
        <v>0.44830000000000003</v>
      </c>
      <c r="M78" s="2">
        <f>RTD("wdf.rtq",,A78,"Delta")</f>
        <v>-0.75940000000000007</v>
      </c>
      <c r="N78" s="2">
        <f ca="1">RTD("wdf.rtq",,$A78,N$2)</f>
        <v>6.8500000000000005E-2</v>
      </c>
      <c r="O78" s="2">
        <f ca="1">RTD("wdf.rtq",,$A78,O$2)</f>
        <v>2.0000000000000001E-4</v>
      </c>
      <c r="P78" s="2">
        <f ca="1">RTD("wdf.rtq",,$A78,P$2)</f>
        <v>-3.0000000000000003E-4</v>
      </c>
      <c r="Q78" s="3">
        <f>[1]!w_info_ptmtradeday(A78,"")</f>
        <v>10</v>
      </c>
      <c r="R78" s="1" t="str">
        <f>[1]!w_info_callput(A78)</f>
        <v>认沽</v>
      </c>
      <c r="S78" s="7">
        <f>[1]!s_info_margin(A78)</f>
        <v>8718.4</v>
      </c>
    </row>
    <row r="79" spans="1:19" x14ac:dyDescent="0.25">
      <c r="A79" s="6" t="s">
        <v>94</v>
      </c>
      <c r="B79" s="9">
        <f>[1]!w_info_strikeprice(A79,"")</f>
        <v>4.4000000000000004</v>
      </c>
      <c r="C79" s="2">
        <f>RTD("wdf.rtq",,A79,"LastPrice")</f>
        <v>0.39580000000000004</v>
      </c>
      <c r="D79" s="2">
        <f t="shared" si="1"/>
        <v>0.40160000000000007</v>
      </c>
      <c r="E79" s="2">
        <f>RTD("wdf.rtq",,A79,"Bid_Price1")</f>
        <v>0.40030000000000004</v>
      </c>
      <c r="F79" s="2">
        <f>RTD("wdf.rtq",,A79,"Ask_Price1")</f>
        <v>0.40290000000000004</v>
      </c>
      <c r="G79" s="2">
        <f>RTD("wdf.rtq",,A79,"Change")</f>
        <v>-0.15340000000000001</v>
      </c>
      <c r="H79" s="2">
        <f>RTD("wdf.rtq",,A79,"PctChg")</f>
        <v>-27.93</v>
      </c>
      <c r="I79" s="2">
        <f>RTD("wdf.rtq",,A79,"Volume")</f>
        <v>2279</v>
      </c>
      <c r="J79" s="2">
        <f>RTD("wdf.rtq",,A79, "rt_oi","RT_Price")</f>
        <v>11919</v>
      </c>
      <c r="K79" s="2">
        <f>RTD("wdf.rtq",,A79,"ImpliedVol")</f>
        <v>0.4461</v>
      </c>
      <c r="L79" s="2">
        <f>RTD("wdf.rtq",,A79, "rt_miv","RT_Price")</f>
        <v>0.47340000000000004</v>
      </c>
      <c r="M79" s="2">
        <f>RTD("wdf.rtq",,A79,"Delta")</f>
        <v>-0.83360000000000001</v>
      </c>
      <c r="N79" s="2">
        <f ca="1">RTD("wdf.rtq",,$A79,N$2)</f>
        <v>6.8500000000000005E-2</v>
      </c>
      <c r="O79" s="2">
        <f ca="1">RTD("wdf.rtq",,$A79,O$2)</f>
        <v>2.0000000000000001E-4</v>
      </c>
      <c r="P79" s="2">
        <f ca="1">RTD("wdf.rtq",,$A79,P$2)</f>
        <v>-3.0000000000000003E-4</v>
      </c>
      <c r="Q79" s="3">
        <f>[1]!w_info_ptmtradeday(A79,"")</f>
        <v>10</v>
      </c>
      <c r="R79" s="1" t="str">
        <f>[1]!w_info_callput(A79)</f>
        <v>认沽</v>
      </c>
      <c r="S79" s="7">
        <f>[1]!s_info_margin(A79)</f>
        <v>9686.4</v>
      </c>
    </row>
    <row r="80" spans="1:19" x14ac:dyDescent="0.25">
      <c r="A80" s="6" t="s">
        <v>95</v>
      </c>
      <c r="B80" s="9">
        <f>[1]!w_info_strikeprice(A80,"")</f>
        <v>4.5</v>
      </c>
      <c r="C80" s="2">
        <f>RTD("wdf.rtq",,A80,"LastPrice")</f>
        <v>0.49340000000000001</v>
      </c>
      <c r="D80" s="2">
        <f t="shared" si="1"/>
        <v>0.48765000000000003</v>
      </c>
      <c r="E80" s="2">
        <f>RTD("wdf.rtq",,A80,"Bid_Price1")</f>
        <v>0.48100000000000004</v>
      </c>
      <c r="F80" s="2">
        <f>RTD("wdf.rtq",,A80,"Ask_Price1")</f>
        <v>0.49430000000000002</v>
      </c>
      <c r="G80" s="2">
        <f>RTD("wdf.rtq",,A80,"Change")</f>
        <v>-0.15490000000000001</v>
      </c>
      <c r="H80" s="2">
        <f>RTD("wdf.rtq",,A80,"PctChg")</f>
        <v>-23.89</v>
      </c>
      <c r="I80" s="2">
        <f>RTD("wdf.rtq",,A80,"Volume")</f>
        <v>626</v>
      </c>
      <c r="J80" s="2">
        <f>RTD("wdf.rtq",,A80, "rt_oi","RT_Price")</f>
        <v>7155</v>
      </c>
      <c r="K80" s="2">
        <f>RTD("wdf.rtq",,A80,"ImpliedVol")</f>
        <v>0.46850000000000003</v>
      </c>
      <c r="L80" s="2">
        <f>RTD("wdf.rtq",,A80, "rt_miv","RT_Price")</f>
        <v>0.46850000000000003</v>
      </c>
      <c r="M80" s="2">
        <f>RTD("wdf.rtq",,A80,"Delta")</f>
        <v>-0.88109999999999999</v>
      </c>
      <c r="N80" s="2">
        <f ca="1">RTD("wdf.rtq",,$A80,N$2)</f>
        <v>6.8500000000000005E-2</v>
      </c>
      <c r="O80" s="2">
        <f ca="1">RTD("wdf.rtq",,$A80,O$2)</f>
        <v>2.0000000000000001E-4</v>
      </c>
      <c r="P80" s="2">
        <f ca="1">RTD("wdf.rtq",,$A80,P$2)</f>
        <v>-3.0000000000000003E-4</v>
      </c>
      <c r="Q80" s="3">
        <f>[1]!w_info_ptmtradeday(A80,"")</f>
        <v>10</v>
      </c>
      <c r="R80" s="1" t="str">
        <f>[1]!w_info_callput(A80)</f>
        <v>认沽</v>
      </c>
      <c r="S80" s="7">
        <f>[1]!s_info_margin(A80)</f>
        <v>10597.4</v>
      </c>
    </row>
    <row r="81" spans="1:19" x14ac:dyDescent="0.25">
      <c r="A81" s="6" t="s">
        <v>96</v>
      </c>
      <c r="B81" s="9">
        <f>[1]!w_info_strikeprice(A81,"")</f>
        <v>4.5999999999999996</v>
      </c>
      <c r="C81" s="2">
        <f>RTD("wdf.rtq",,A81,"LastPrice")</f>
        <v>0.58320000000000005</v>
      </c>
      <c r="D81" s="2">
        <f t="shared" si="1"/>
        <v>0.58109999999999995</v>
      </c>
      <c r="E81" s="2">
        <f>RTD("wdf.rtq",,A81,"Bid_Price1")</f>
        <v>0.57350000000000001</v>
      </c>
      <c r="F81" s="2">
        <f>RTD("wdf.rtq",,A81,"Ask_Price1")</f>
        <v>0.5887</v>
      </c>
      <c r="G81" s="2">
        <f>RTD("wdf.rtq",,A81,"Change")</f>
        <v>-0.15710000000000002</v>
      </c>
      <c r="H81" s="2">
        <f>RTD("wdf.rtq",,A81,"PctChg")</f>
        <v>-21.22</v>
      </c>
      <c r="I81" s="2">
        <f>RTD("wdf.rtq",,A81,"Volume")</f>
        <v>245</v>
      </c>
      <c r="J81" s="2">
        <f>RTD("wdf.rtq",,A81, "rt_oi","RT_Price")</f>
        <v>2047</v>
      </c>
      <c r="K81" s="2">
        <f>RTD("wdf.rtq",,A81,"ImpliedVol")</f>
        <v>0.47840000000000005</v>
      </c>
      <c r="L81" s="2">
        <f>RTD("wdf.rtq",,A81, "rt_miv","RT_Price")</f>
        <v>0.48480000000000001</v>
      </c>
      <c r="M81" s="2">
        <f>RTD("wdf.rtq",,A81,"Delta")</f>
        <v>-0.91580000000000006</v>
      </c>
      <c r="N81" s="2">
        <f ca="1">RTD("wdf.rtq",,$A81,N$2)</f>
        <v>6.8500000000000005E-2</v>
      </c>
      <c r="O81" s="2">
        <f ca="1">RTD("wdf.rtq",,$A81,O$2)</f>
        <v>2.0000000000000001E-4</v>
      </c>
      <c r="P81" s="2">
        <f ca="1">RTD("wdf.rtq",,$A81,P$2)</f>
        <v>-3.0000000000000003E-4</v>
      </c>
      <c r="Q81" s="3">
        <f>[1]!w_info_ptmtradeday(A81,"")</f>
        <v>10</v>
      </c>
      <c r="R81" s="1" t="str">
        <f>[1]!w_info_callput(A81)</f>
        <v>认沽</v>
      </c>
      <c r="S81" s="7">
        <f>[1]!s_info_margin(A81)</f>
        <v>11526.4</v>
      </c>
    </row>
    <row r="82" spans="1:19" x14ac:dyDescent="0.25">
      <c r="A82" s="6" t="s">
        <v>97</v>
      </c>
      <c r="B82" s="9">
        <f>[1]!w_info_strikeprice(A82,"")</f>
        <v>4.7</v>
      </c>
      <c r="C82" s="2">
        <f>RTD("wdf.rtq",,A82,"LastPrice")</f>
        <v>0.67800000000000005</v>
      </c>
      <c r="D82" s="2">
        <f t="shared" si="1"/>
        <v>0.67385000000000006</v>
      </c>
      <c r="E82" s="2">
        <f>RTD("wdf.rtq",,A82,"Bid_Price1")</f>
        <v>0.66970000000000007</v>
      </c>
      <c r="F82" s="2">
        <f>RTD("wdf.rtq",,A82,"Ask_Price1")</f>
        <v>0.67800000000000005</v>
      </c>
      <c r="G82" s="2">
        <f>RTD("wdf.rtq",,A82,"Change")</f>
        <v>-0.1613</v>
      </c>
      <c r="H82" s="2">
        <f>RTD("wdf.rtq",,A82,"PctChg")</f>
        <v>-19.220000000000002</v>
      </c>
      <c r="I82" s="2">
        <f>RTD("wdf.rtq",,A82,"Volume")</f>
        <v>258</v>
      </c>
      <c r="J82" s="2">
        <f>RTD("wdf.rtq",,A82, "rt_oi","RT_Price")</f>
        <v>1765</v>
      </c>
      <c r="K82" s="2">
        <f>RTD("wdf.rtq",,A82,"ImpliedVol")</f>
        <v>0.50170000000000003</v>
      </c>
      <c r="L82" s="2">
        <f>RTD("wdf.rtq",,A82, "rt_miv","RT_Price")</f>
        <v>0.46880000000000005</v>
      </c>
      <c r="M82" s="2">
        <f>RTD("wdf.rtq",,A82,"Delta")</f>
        <v>-0.93720000000000003</v>
      </c>
      <c r="N82" s="2">
        <f ca="1">RTD("wdf.rtq",,$A82,N$2)</f>
        <v>6.8500000000000005E-2</v>
      </c>
      <c r="O82" s="2">
        <f ca="1">RTD("wdf.rtq",,$A82,O$2)</f>
        <v>2.0000000000000001E-4</v>
      </c>
      <c r="P82" s="2">
        <f ca="1">RTD("wdf.rtq",,$A82,P$2)</f>
        <v>-3.0000000000000003E-4</v>
      </c>
      <c r="Q82" s="3">
        <f>[1]!w_info_ptmtradeday(A82,"")</f>
        <v>10</v>
      </c>
      <c r="R82" s="1" t="str">
        <f>[1]!w_info_callput(A82)</f>
        <v>认沽</v>
      </c>
      <c r="S82" s="7">
        <f>[1]!s_info_margin(A82)</f>
        <v>12516.4</v>
      </c>
    </row>
    <row r="83" spans="1:19" x14ac:dyDescent="0.25">
      <c r="A83" s="6" t="s">
        <v>98</v>
      </c>
      <c r="B83" s="9">
        <f>[1]!w_info_strikeprice(A83,"")</f>
        <v>4.8</v>
      </c>
      <c r="C83" s="2">
        <f>RTD("wdf.rtq",,A83,"LastPrice")</f>
        <v>0.77060000000000006</v>
      </c>
      <c r="D83" s="2">
        <f t="shared" si="1"/>
        <v>0.77405000000000002</v>
      </c>
      <c r="E83" s="2">
        <f>RTD("wdf.rtq",,A83,"Bid_Price1")</f>
        <v>0.7661</v>
      </c>
      <c r="F83" s="2">
        <f>RTD("wdf.rtq",,A83,"Ask_Price1")</f>
        <v>0.78200000000000003</v>
      </c>
      <c r="G83" s="2">
        <f>RTD("wdf.rtq",,A83,"Change")</f>
        <v>-0.1694</v>
      </c>
      <c r="H83" s="2">
        <f>RTD("wdf.rtq",,A83,"PctChg")</f>
        <v>-18.02</v>
      </c>
      <c r="I83" s="2">
        <f>RTD("wdf.rtq",,A83,"Volume")</f>
        <v>46</v>
      </c>
      <c r="J83" s="2">
        <f>RTD("wdf.rtq",,A83, "rt_oi","RT_Price")</f>
        <v>1208</v>
      </c>
      <c r="K83" s="2">
        <f>RTD("wdf.rtq",,A83,"ImpliedVol")</f>
        <v>0.53360000000000007</v>
      </c>
      <c r="L83" s="2">
        <f>RTD("wdf.rtq",,A83, "rt_miv","RT_Price")</f>
        <v>0.52250000000000008</v>
      </c>
      <c r="M83" s="2">
        <f>RTD("wdf.rtq",,A83,"Delta")</f>
        <v>-0.94740000000000002</v>
      </c>
      <c r="N83" s="2">
        <f ca="1">RTD("wdf.rtq",,$A83,N$2)</f>
        <v>6.8500000000000005E-2</v>
      </c>
      <c r="O83" s="2">
        <f ca="1">RTD("wdf.rtq",,$A83,O$2)</f>
        <v>2.0000000000000001E-4</v>
      </c>
      <c r="P83" s="2">
        <f ca="1">RTD("wdf.rtq",,$A83,P$2)</f>
        <v>-3.0000000000000003E-4</v>
      </c>
      <c r="Q83" s="3">
        <f>[1]!w_info_ptmtradeday(A83,"")</f>
        <v>10</v>
      </c>
      <c r="R83" s="1" t="str">
        <f>[1]!w_info_callput(A83)</f>
        <v>认沽</v>
      </c>
      <c r="S83" s="7">
        <f>[1]!s_info_margin(A83)</f>
        <v>13516.4</v>
      </c>
    </row>
    <row r="84" spans="1:19" x14ac:dyDescent="0.25">
      <c r="A84" s="6" t="s">
        <v>99</v>
      </c>
      <c r="B84" s="9">
        <f>[1]!w_info_strikeprice(A84,"")</f>
        <v>3.6</v>
      </c>
      <c r="C84" s="2">
        <f>RTD("wdf.rtq",,A84,"LastPrice")</f>
        <v>7.6100000000000001E-2</v>
      </c>
      <c r="D84" s="2">
        <f t="shared" si="1"/>
        <v>7.6399999999999996E-2</v>
      </c>
      <c r="E84" s="2">
        <f>RTD("wdf.rtq",,A84,"Bid_Price1")</f>
        <v>7.6300000000000007E-2</v>
      </c>
      <c r="F84" s="2">
        <f>RTD("wdf.rtq",,A84,"Ask_Price1")</f>
        <v>7.6499999999999999E-2</v>
      </c>
      <c r="G84" s="2">
        <f>RTD("wdf.rtq",,A84,"Change")</f>
        <v>-3.61E-2</v>
      </c>
      <c r="H84" s="2">
        <f>RTD("wdf.rtq",,A84,"PctChg")</f>
        <v>-32.17</v>
      </c>
      <c r="I84" s="2">
        <f>RTD("wdf.rtq",,A84,"Volume")</f>
        <v>14971</v>
      </c>
      <c r="J84" s="2">
        <f>RTD("wdf.rtq",,A84, "rt_oi","RT_Price")</f>
        <v>18567</v>
      </c>
      <c r="K84" s="2">
        <f>RTD("wdf.rtq",,A84,"ImpliedVol")</f>
        <v>0.39590000000000003</v>
      </c>
      <c r="L84" s="2">
        <f>RTD("wdf.rtq",,A84, "rt_miv","RT_Price")</f>
        <v>0.39610000000000001</v>
      </c>
      <c r="M84" s="2">
        <f>RTD("wdf.rtq",,A84,"Delta")</f>
        <v>-0.2107</v>
      </c>
      <c r="N84" s="2">
        <f ca="1">RTD("wdf.rtq",,$A84,N$2)</f>
        <v>6.8500000000000005E-2</v>
      </c>
      <c r="O84" s="2">
        <f ca="1">RTD("wdf.rtq",,$A84,O$2)</f>
        <v>2.0000000000000001E-4</v>
      </c>
      <c r="P84" s="2">
        <f ca="1">RTD("wdf.rtq",,$A84,P$2)</f>
        <v>-3.0000000000000003E-4</v>
      </c>
      <c r="Q84" s="3">
        <f>[1]!w_info_ptmtradeday(A84,"")</f>
        <v>35</v>
      </c>
      <c r="R84" s="1" t="str">
        <f>[1]!w_info_callput(A84)</f>
        <v>认沽</v>
      </c>
      <c r="S84" s="7">
        <f>[1]!s_info_margin(A84)</f>
        <v>3507</v>
      </c>
    </row>
    <row r="85" spans="1:19" x14ac:dyDescent="0.25">
      <c r="A85" s="6" t="s">
        <v>100</v>
      </c>
      <c r="B85" s="9">
        <f>[1]!w_info_strikeprice(A85,"")</f>
        <v>3.7</v>
      </c>
      <c r="C85" s="2">
        <f>RTD("wdf.rtq",,A85,"LastPrice")</f>
        <v>0.10500000000000001</v>
      </c>
      <c r="D85" s="2">
        <f t="shared" si="1"/>
        <v>0.10505</v>
      </c>
      <c r="E85" s="2">
        <f>RTD("wdf.rtq",,A85,"Bid_Price1")</f>
        <v>0.10500000000000001</v>
      </c>
      <c r="F85" s="2">
        <f>RTD("wdf.rtq",,A85,"Ask_Price1")</f>
        <v>0.1051</v>
      </c>
      <c r="G85" s="2">
        <f>RTD("wdf.rtq",,A85,"Change")</f>
        <v>-4.5999999999999999E-2</v>
      </c>
      <c r="H85" s="2">
        <f>RTD("wdf.rtq",,A85,"PctChg")</f>
        <v>-30.460000000000004</v>
      </c>
      <c r="I85" s="2">
        <f>RTD("wdf.rtq",,A85,"Volume")</f>
        <v>9245</v>
      </c>
      <c r="J85" s="2">
        <f>RTD("wdf.rtq",,A85, "rt_oi","RT_Price")</f>
        <v>7009</v>
      </c>
      <c r="K85" s="2">
        <f>RTD("wdf.rtq",,A85,"ImpliedVol")</f>
        <v>0.39550000000000002</v>
      </c>
      <c r="L85" s="2">
        <f>RTD("wdf.rtq",,A85, "rt_miv","RT_Price")</f>
        <v>0.39610000000000001</v>
      </c>
      <c r="M85" s="2">
        <f>RTD("wdf.rtq",,A85,"Delta")</f>
        <v>-0.26769999999999999</v>
      </c>
      <c r="N85" s="2">
        <f ca="1">RTD("wdf.rtq",,$A85,N$2)</f>
        <v>6.8500000000000005E-2</v>
      </c>
      <c r="O85" s="2">
        <f ca="1">RTD("wdf.rtq",,$A85,O$2)</f>
        <v>2.0000000000000001E-4</v>
      </c>
      <c r="P85" s="2">
        <f ca="1">RTD("wdf.rtq",,$A85,P$2)</f>
        <v>-3.0000000000000003E-4</v>
      </c>
      <c r="Q85" s="3">
        <f>[1]!w_info_ptmtradeday(A85,"")</f>
        <v>35</v>
      </c>
      <c r="R85" s="1" t="str">
        <f>[1]!w_info_callput(A85)</f>
        <v>认沽</v>
      </c>
      <c r="S85" s="7">
        <f>[1]!s_info_margin(A85)</f>
        <v>3915</v>
      </c>
    </row>
    <row r="86" spans="1:19" x14ac:dyDescent="0.25">
      <c r="A86" s="6" t="s">
        <v>101</v>
      </c>
      <c r="B86" s="9">
        <f>[1]!w_info_strikeprice(A86,"")</f>
        <v>3.8</v>
      </c>
      <c r="C86" s="2">
        <f>RTD("wdf.rtq",,A86,"LastPrice")</f>
        <v>0.13300000000000001</v>
      </c>
      <c r="D86" s="2">
        <f t="shared" si="1"/>
        <v>0.13619999999999999</v>
      </c>
      <c r="E86" s="2">
        <f>RTD("wdf.rtq",,A86,"Bid_Price1")</f>
        <v>0.13300000000000001</v>
      </c>
      <c r="F86" s="2">
        <f>RTD("wdf.rtq",,A86,"Ask_Price1")</f>
        <v>0.1394</v>
      </c>
      <c r="G86" s="2">
        <f>RTD("wdf.rtq",,A86,"Change")</f>
        <v>-6.3E-2</v>
      </c>
      <c r="H86" s="2">
        <f>RTD("wdf.rtq",,A86,"PctChg")</f>
        <v>-32.14</v>
      </c>
      <c r="I86" s="2">
        <f>RTD("wdf.rtq",,A86,"Volume")</f>
        <v>17821</v>
      </c>
      <c r="J86" s="2">
        <f>RTD("wdf.rtq",,A86, "rt_oi","RT_Price")</f>
        <v>14842</v>
      </c>
      <c r="K86" s="2">
        <f>RTD("wdf.rtq",,A86,"ImpliedVol")</f>
        <v>0.38230000000000003</v>
      </c>
      <c r="L86" s="2">
        <f>RTD("wdf.rtq",,A86, "rt_miv","RT_Price")</f>
        <v>0.38880000000000003</v>
      </c>
      <c r="M86" s="2">
        <f>RTD("wdf.rtq",,A86,"Delta")</f>
        <v>-0.32630000000000003</v>
      </c>
      <c r="N86" s="2">
        <f ca="1">RTD("wdf.rtq",,$A86,N$2)</f>
        <v>6.8500000000000005E-2</v>
      </c>
      <c r="O86" s="2">
        <f ca="1">RTD("wdf.rtq",,$A86,O$2)</f>
        <v>2.0000000000000001E-4</v>
      </c>
      <c r="P86" s="2">
        <f ca="1">RTD("wdf.rtq",,$A86,P$2)</f>
        <v>-3.0000000000000003E-4</v>
      </c>
      <c r="Q86" s="3">
        <f>[1]!w_info_ptmtradeday(A86,"")</f>
        <v>35</v>
      </c>
      <c r="R86" s="1" t="str">
        <f>[1]!w_info_callput(A86)</f>
        <v>认沽</v>
      </c>
      <c r="S86" s="7">
        <f>[1]!s_info_margin(A86)</f>
        <v>5133.3999999999996</v>
      </c>
    </row>
    <row r="87" spans="1:19" x14ac:dyDescent="0.25">
      <c r="A87" s="6" t="s">
        <v>102</v>
      </c>
      <c r="B87" s="9">
        <f>[1]!w_info_strikeprice(A87,"")</f>
        <v>3.9</v>
      </c>
      <c r="C87" s="2">
        <f>RTD("wdf.rtq",,A87,"LastPrice")</f>
        <v>0.1782</v>
      </c>
      <c r="D87" s="2">
        <f t="shared" si="1"/>
        <v>0.17735000000000001</v>
      </c>
      <c r="E87" s="2">
        <f>RTD("wdf.rtq",,A87,"Bid_Price1")</f>
        <v>0.17650000000000002</v>
      </c>
      <c r="F87" s="2">
        <f>RTD("wdf.rtq",,A87,"Ask_Price1")</f>
        <v>0.1782</v>
      </c>
      <c r="G87" s="2">
        <f>RTD("wdf.rtq",,A87,"Change")</f>
        <v>-7.2300000000000003E-2</v>
      </c>
      <c r="H87" s="2">
        <f>RTD("wdf.rtq",,A87,"PctChg")</f>
        <v>-28.860000000000003</v>
      </c>
      <c r="I87" s="2">
        <f>RTD("wdf.rtq",,A87,"Volume")</f>
        <v>12961</v>
      </c>
      <c r="J87" s="2">
        <f>RTD("wdf.rtq",,A87, "rt_oi","RT_Price")</f>
        <v>10292</v>
      </c>
      <c r="K87" s="2">
        <f>RTD("wdf.rtq",,A87,"ImpliedVol")</f>
        <v>0.38880000000000003</v>
      </c>
      <c r="L87" s="2">
        <f>RTD("wdf.rtq",,A87, "rt_miv","RT_Price")</f>
        <v>0.38800000000000001</v>
      </c>
      <c r="M87" s="2">
        <f>RTD("wdf.rtq",,A87,"Delta")</f>
        <v>-0.3947</v>
      </c>
      <c r="N87" s="2">
        <f ca="1">RTD("wdf.rtq",,$A87,N$2)</f>
        <v>6.8500000000000005E-2</v>
      </c>
      <c r="O87" s="2">
        <f ca="1">RTD("wdf.rtq",,$A87,O$2)</f>
        <v>2.0000000000000001E-4</v>
      </c>
      <c r="P87" s="2">
        <f ca="1">RTD("wdf.rtq",,$A87,P$2)</f>
        <v>-3.0000000000000003E-4</v>
      </c>
      <c r="Q87" s="3">
        <f>[1]!w_info_ptmtradeday(A87,"")</f>
        <v>35</v>
      </c>
      <c r="R87" s="1" t="str">
        <f>[1]!w_info_callput(A87)</f>
        <v>认沽</v>
      </c>
      <c r="S87" s="7">
        <f>[1]!s_info_margin(A87)</f>
        <v>6610.4</v>
      </c>
    </row>
    <row r="88" spans="1:19" x14ac:dyDescent="0.25">
      <c r="A88" s="6" t="s">
        <v>103</v>
      </c>
      <c r="B88" s="9">
        <f>[1]!w_info_strikeprice(A88,"")</f>
        <v>4</v>
      </c>
      <c r="C88" s="2">
        <f>RTD("wdf.rtq",,A88,"LastPrice")</f>
        <v>0.22750000000000001</v>
      </c>
      <c r="D88" s="2">
        <f t="shared" si="1"/>
        <v>0.2278</v>
      </c>
      <c r="E88" s="2">
        <f>RTD("wdf.rtq",,A88,"Bid_Price1")</f>
        <v>0.22500000000000001</v>
      </c>
      <c r="F88" s="2">
        <f>RTD("wdf.rtq",,A88,"Ask_Price1")</f>
        <v>0.2306</v>
      </c>
      <c r="G88" s="2">
        <f>RTD("wdf.rtq",,A88,"Change")</f>
        <v>-8.270000000000001E-2</v>
      </c>
      <c r="H88" s="2">
        <f>RTD("wdf.rtq",,A88,"PctChg")</f>
        <v>-26.66</v>
      </c>
      <c r="I88" s="2">
        <f>RTD("wdf.rtq",,A88,"Volume")</f>
        <v>6960</v>
      </c>
      <c r="J88" s="2">
        <f>RTD("wdf.rtq",,A88, "rt_oi","RT_Price")</f>
        <v>8364</v>
      </c>
      <c r="K88" s="2">
        <f>RTD("wdf.rtq",,A88,"ImpliedVol")</f>
        <v>0.38930000000000003</v>
      </c>
      <c r="L88" s="2">
        <f>RTD("wdf.rtq",,A88, "rt_miv","RT_Price")</f>
        <v>0.39119999999999999</v>
      </c>
      <c r="M88" s="2">
        <f>RTD("wdf.rtq",,A88,"Delta")</f>
        <v>-0.46260000000000001</v>
      </c>
      <c r="N88" s="2">
        <f ca="1">RTD("wdf.rtq",,$A88,N$2)</f>
        <v>6.8500000000000005E-2</v>
      </c>
      <c r="O88" s="2">
        <f ca="1">RTD("wdf.rtq",,$A88,O$2)</f>
        <v>2.0000000000000001E-4</v>
      </c>
      <c r="P88" s="2">
        <f ca="1">RTD("wdf.rtq",,$A88,P$2)</f>
        <v>-3.0000000000000003E-4</v>
      </c>
      <c r="Q88" s="3">
        <f>[1]!w_info_ptmtradeday(A88,"")</f>
        <v>35</v>
      </c>
      <c r="R88" s="1" t="str">
        <f>[1]!w_info_callput(A88)</f>
        <v>认沽</v>
      </c>
      <c r="S88" s="7">
        <f>[1]!s_info_margin(A88)</f>
        <v>7484.4</v>
      </c>
    </row>
    <row r="89" spans="1:19" x14ac:dyDescent="0.25">
      <c r="A89" s="6" t="s">
        <v>104</v>
      </c>
      <c r="B89" s="9">
        <f>[1]!w_info_strikeprice(A89,"")</f>
        <v>4.0999999999999996</v>
      </c>
      <c r="C89" s="2">
        <f>RTD("wdf.rtq",,A89,"LastPrice")</f>
        <v>0.28520000000000001</v>
      </c>
      <c r="D89" s="2">
        <f t="shared" si="1"/>
        <v>0.28095000000000003</v>
      </c>
      <c r="E89" s="2">
        <f>RTD("wdf.rtq",,A89,"Bid_Price1")</f>
        <v>0.27900000000000003</v>
      </c>
      <c r="F89" s="2">
        <f>RTD("wdf.rtq",,A89,"Ask_Price1")</f>
        <v>0.28290000000000004</v>
      </c>
      <c r="G89" s="2">
        <f>RTD("wdf.rtq",,A89,"Change")</f>
        <v>-9.4800000000000009E-2</v>
      </c>
      <c r="H89" s="2">
        <f>RTD("wdf.rtq",,A89,"PctChg")</f>
        <v>-24.95</v>
      </c>
      <c r="I89" s="2">
        <f>RTD("wdf.rtq",,A89,"Volume")</f>
        <v>5608</v>
      </c>
      <c r="J89" s="2">
        <f>RTD("wdf.rtq",,A89, "rt_oi","RT_Price")</f>
        <v>8093</v>
      </c>
      <c r="K89" s="2">
        <f>RTD("wdf.rtq",,A89,"ImpliedVol")</f>
        <v>0.38850000000000001</v>
      </c>
      <c r="L89" s="2">
        <f>RTD("wdf.rtq",,A89, "rt_miv","RT_Price")</f>
        <v>0.38740000000000002</v>
      </c>
      <c r="M89" s="2">
        <f>RTD("wdf.rtq",,A89,"Delta")</f>
        <v>-0.53110000000000002</v>
      </c>
      <c r="N89" s="2">
        <f ca="1">RTD("wdf.rtq",,$A89,N$2)</f>
        <v>6.8500000000000005E-2</v>
      </c>
      <c r="O89" s="2">
        <f ca="1">RTD("wdf.rtq",,$A89,O$2)</f>
        <v>2.0000000000000001E-4</v>
      </c>
      <c r="P89" s="2">
        <f ca="1">RTD("wdf.rtq",,$A89,P$2)</f>
        <v>-3.0000000000000003E-4</v>
      </c>
      <c r="Q89" s="3">
        <f>[1]!w_info_ptmtradeday(A89,"")</f>
        <v>35</v>
      </c>
      <c r="R89" s="1" t="str">
        <f>[1]!w_info_callput(A89)</f>
        <v>认沽</v>
      </c>
      <c r="S89" s="7">
        <f>[1]!s_info_margin(A89)</f>
        <v>8116.4</v>
      </c>
    </row>
    <row r="90" spans="1:19" x14ac:dyDescent="0.25">
      <c r="A90" s="6" t="s">
        <v>105</v>
      </c>
      <c r="B90" s="9">
        <f>[1]!w_info_strikeprice(A90,"")</f>
        <v>4.2</v>
      </c>
      <c r="C90" s="2">
        <f>RTD("wdf.rtq",,A90,"LastPrice")</f>
        <v>0.34720000000000001</v>
      </c>
      <c r="D90" s="2">
        <f t="shared" si="1"/>
        <v>0.34850000000000003</v>
      </c>
      <c r="E90" s="2">
        <f>RTD("wdf.rtq",,A90,"Bid_Price1")</f>
        <v>0.34720000000000001</v>
      </c>
      <c r="F90" s="2">
        <f>RTD("wdf.rtq",,A90,"Ask_Price1")</f>
        <v>0.3498</v>
      </c>
      <c r="G90" s="2">
        <f>RTD("wdf.rtq",,A90,"Change")</f>
        <v>-0.10540000000000001</v>
      </c>
      <c r="H90" s="2">
        <f>RTD("wdf.rtq",,A90,"PctChg")</f>
        <v>-23.290000000000003</v>
      </c>
      <c r="I90" s="2">
        <f>RTD("wdf.rtq",,A90,"Volume")</f>
        <v>3801</v>
      </c>
      <c r="J90" s="2">
        <f>RTD("wdf.rtq",,A90, "rt_oi","RT_Price")</f>
        <v>7449</v>
      </c>
      <c r="K90" s="2">
        <f>RTD("wdf.rtq",,A90,"ImpliedVol")</f>
        <v>0.39240000000000003</v>
      </c>
      <c r="L90" s="2">
        <f>RTD("wdf.rtq",,A90, "rt_miv","RT_Price")</f>
        <v>0.3972</v>
      </c>
      <c r="M90" s="2">
        <f>RTD("wdf.rtq",,A90,"Delta")</f>
        <v>-0.59460000000000002</v>
      </c>
      <c r="N90" s="2">
        <f ca="1">RTD("wdf.rtq",,$A90,N$2)</f>
        <v>6.8500000000000005E-2</v>
      </c>
      <c r="O90" s="2">
        <f ca="1">RTD("wdf.rtq",,$A90,O$2)</f>
        <v>2.0000000000000001E-4</v>
      </c>
      <c r="P90" s="2">
        <f ca="1">RTD("wdf.rtq",,$A90,P$2)</f>
        <v>-3.0000000000000003E-4</v>
      </c>
      <c r="Q90" s="3">
        <f>[1]!w_info_ptmtradeday(A90,"")</f>
        <v>35</v>
      </c>
      <c r="R90" s="1" t="str">
        <f>[1]!w_info_callput(A90)</f>
        <v>认沽</v>
      </c>
      <c r="S90" s="7">
        <f>[1]!s_info_margin(A90)</f>
        <v>8800.4</v>
      </c>
    </row>
    <row r="91" spans="1:19" x14ac:dyDescent="0.25">
      <c r="A91" s="6" t="s">
        <v>106</v>
      </c>
      <c r="B91" s="9">
        <f>[1]!w_info_strikeprice(A91,"")</f>
        <v>4.3</v>
      </c>
      <c r="C91" s="2">
        <f>RTD("wdf.rtq",,A91,"LastPrice")</f>
        <v>0.41540000000000005</v>
      </c>
      <c r="D91" s="2">
        <f t="shared" si="1"/>
        <v>0.41550000000000004</v>
      </c>
      <c r="E91" s="2">
        <f>RTD("wdf.rtq",,A91,"Bid_Price1")</f>
        <v>0.41100000000000003</v>
      </c>
      <c r="F91" s="2">
        <f>RTD("wdf.rtq",,A91,"Ask_Price1")</f>
        <v>0.42000000000000004</v>
      </c>
      <c r="G91" s="2">
        <f>RTD("wdf.rtq",,A91,"Change")</f>
        <v>-0.11670000000000001</v>
      </c>
      <c r="H91" s="2">
        <f>RTD("wdf.rtq",,A91,"PctChg")</f>
        <v>-21.930000000000003</v>
      </c>
      <c r="I91" s="2">
        <f>RTD("wdf.rtq",,A91,"Volume")</f>
        <v>845</v>
      </c>
      <c r="J91" s="2">
        <f>RTD("wdf.rtq",,A91, "rt_oi","RT_Price")</f>
        <v>3300</v>
      </c>
      <c r="K91" s="2">
        <f>RTD("wdf.rtq",,A91,"ImpliedVol")</f>
        <v>0.39540000000000003</v>
      </c>
      <c r="L91" s="2">
        <f>RTD("wdf.rtq",,A91, "rt_miv","RT_Price")</f>
        <v>0.39600000000000002</v>
      </c>
      <c r="M91" s="2">
        <f>RTD("wdf.rtq",,A91,"Delta")</f>
        <v>-0.6522</v>
      </c>
      <c r="N91" s="2">
        <f ca="1">RTD("wdf.rtq",,$A91,N$2)</f>
        <v>6.8500000000000005E-2</v>
      </c>
      <c r="O91" s="2">
        <f ca="1">RTD("wdf.rtq",,$A91,O$2)</f>
        <v>2.0000000000000001E-4</v>
      </c>
      <c r="P91" s="2">
        <f ca="1">RTD("wdf.rtq",,$A91,P$2)</f>
        <v>-3.0000000000000003E-4</v>
      </c>
      <c r="Q91" s="3">
        <f>[1]!w_info_ptmtradeday(A91,"")</f>
        <v>35</v>
      </c>
      <c r="R91" s="1" t="str">
        <f>[1]!w_info_callput(A91)</f>
        <v>认沽</v>
      </c>
      <c r="S91" s="7">
        <f>[1]!s_info_margin(A91)</f>
        <v>9558.4</v>
      </c>
    </row>
    <row r="92" spans="1:19" x14ac:dyDescent="0.25">
      <c r="A92" s="6" t="s">
        <v>107</v>
      </c>
      <c r="B92" s="9">
        <f>[1]!w_info_strikeprice(A92,"")</f>
        <v>4.4000000000000004</v>
      </c>
      <c r="C92" s="2">
        <f>RTD("wdf.rtq",,A92,"LastPrice")</f>
        <v>0.49080000000000001</v>
      </c>
      <c r="D92" s="2">
        <f t="shared" si="1"/>
        <v>0.49204999999999999</v>
      </c>
      <c r="E92" s="2">
        <f>RTD("wdf.rtq",,A92,"Bid_Price1")</f>
        <v>0.4889</v>
      </c>
      <c r="F92" s="2">
        <f>RTD("wdf.rtq",,A92,"Ask_Price1")</f>
        <v>0.49520000000000003</v>
      </c>
      <c r="G92" s="2">
        <f>RTD("wdf.rtq",,A92,"Change")</f>
        <v>-0.12440000000000001</v>
      </c>
      <c r="H92" s="2">
        <f>RTD("wdf.rtq",,A92,"PctChg")</f>
        <v>-20.220000000000002</v>
      </c>
      <c r="I92" s="2">
        <f>RTD("wdf.rtq",,A92,"Volume")</f>
        <v>1004</v>
      </c>
      <c r="J92" s="2">
        <f>RTD("wdf.rtq",,A92, "rt_oi","RT_Price")</f>
        <v>1835</v>
      </c>
      <c r="K92" s="2">
        <f>RTD("wdf.rtq",,A92,"ImpliedVol")</f>
        <v>0.39810000000000001</v>
      </c>
      <c r="L92" s="2">
        <f>RTD("wdf.rtq",,A92, "rt_miv","RT_Price")</f>
        <v>0.4027</v>
      </c>
      <c r="M92" s="2">
        <f>RTD("wdf.rtq",,A92,"Delta")</f>
        <v>-0.70679999999999998</v>
      </c>
      <c r="N92" s="2">
        <f ca="1">RTD("wdf.rtq",,$A92,N$2)</f>
        <v>6.8500000000000005E-2</v>
      </c>
      <c r="O92" s="2">
        <f ca="1">RTD("wdf.rtq",,$A92,O$2)</f>
        <v>2.0000000000000001E-4</v>
      </c>
      <c r="P92" s="2">
        <f ca="1">RTD("wdf.rtq",,$A92,P$2)</f>
        <v>-3.0000000000000003E-4</v>
      </c>
      <c r="Q92" s="3">
        <f>[1]!w_info_ptmtradeday(A92,"")</f>
        <v>35</v>
      </c>
      <c r="R92" s="1" t="str">
        <f>[1]!w_info_callput(A92)</f>
        <v>认沽</v>
      </c>
      <c r="S92" s="7">
        <f>[1]!s_info_margin(A92)</f>
        <v>10363.4</v>
      </c>
    </row>
    <row r="93" spans="1:19" x14ac:dyDescent="0.25">
      <c r="A93" s="6" t="s">
        <v>108</v>
      </c>
      <c r="B93" s="9">
        <f>[1]!w_info_strikeprice(A93,"")</f>
        <v>4.5</v>
      </c>
      <c r="C93" s="2">
        <f>RTD("wdf.rtq",,A93,"LastPrice")</f>
        <v>0.57900000000000007</v>
      </c>
      <c r="D93" s="2">
        <f t="shared" si="1"/>
        <v>0.56835000000000002</v>
      </c>
      <c r="E93" s="2">
        <f>RTD("wdf.rtq",,A93,"Bid_Price1")</f>
        <v>0.56090000000000007</v>
      </c>
      <c r="F93" s="2">
        <f>RTD("wdf.rtq",,A93,"Ask_Price1")</f>
        <v>0.57579999999999998</v>
      </c>
      <c r="G93" s="2">
        <f>RTD("wdf.rtq",,A93,"Change")</f>
        <v>-0.12300000000000001</v>
      </c>
      <c r="H93" s="2">
        <f>RTD("wdf.rtq",,A93,"PctChg")</f>
        <v>-17.52</v>
      </c>
      <c r="I93" s="2">
        <f>RTD("wdf.rtq",,A93,"Volume")</f>
        <v>65</v>
      </c>
      <c r="J93" s="2">
        <f>RTD("wdf.rtq",,A93, "rt_oi","RT_Price")</f>
        <v>572</v>
      </c>
      <c r="K93" s="2">
        <f>RTD("wdf.rtq",,A93,"ImpliedVol")</f>
        <v>0.39860000000000001</v>
      </c>
      <c r="L93" s="2">
        <f>RTD("wdf.rtq",,A93, "rt_miv","RT_Price")</f>
        <v>0.40010000000000001</v>
      </c>
      <c r="M93" s="2">
        <f>RTD("wdf.rtq",,A93,"Delta")</f>
        <v>-0.76200000000000001</v>
      </c>
      <c r="N93" s="2">
        <f ca="1">RTD("wdf.rtq",,$A93,N$2)</f>
        <v>6.8500000000000005E-2</v>
      </c>
      <c r="O93" s="2">
        <f ca="1">RTD("wdf.rtq",,$A93,O$2)</f>
        <v>2.0000000000000001E-4</v>
      </c>
      <c r="P93" s="2">
        <f ca="1">RTD("wdf.rtq",,$A93,P$2)</f>
        <v>-3.0000000000000003E-4</v>
      </c>
      <c r="Q93" s="3">
        <f>[1]!w_info_ptmtradeday(A93,"")</f>
        <v>35</v>
      </c>
      <c r="R93" s="1" t="str">
        <f>[1]!w_info_callput(A93)</f>
        <v>认沽</v>
      </c>
      <c r="S93" s="7">
        <f>[1]!s_info_margin(A93)</f>
        <v>11208.4</v>
      </c>
    </row>
    <row r="94" spans="1:19" x14ac:dyDescent="0.25">
      <c r="A94" s="6" t="s">
        <v>109</v>
      </c>
      <c r="B94" s="9">
        <f>[1]!w_info_strikeprice(A94,"")</f>
        <v>4.5999999999999996</v>
      </c>
      <c r="C94" s="2">
        <f>RTD("wdf.rtq",,A94,"LastPrice")</f>
        <v>0.81600000000000006</v>
      </c>
      <c r="D94" s="2">
        <f t="shared" si="1"/>
        <v>0.64690000000000003</v>
      </c>
      <c r="E94" s="2">
        <f>RTD("wdf.rtq",,A94,"Bid_Price1")</f>
        <v>0.64380000000000004</v>
      </c>
      <c r="F94" s="2">
        <f>RTD("wdf.rtq",,A94,"Ask_Price1")</f>
        <v>0.65</v>
      </c>
      <c r="G94" s="2">
        <f>RTD("wdf.rtq",,A94,"Change")</f>
        <v>2.46E-2</v>
      </c>
      <c r="H94" s="2">
        <f>RTD("wdf.rtq",,A94,"PctChg")</f>
        <v>3.1100000000000003</v>
      </c>
      <c r="I94" s="2">
        <f>RTD("wdf.rtq",,A94,"Volume")</f>
        <v>7</v>
      </c>
      <c r="J94" s="2">
        <f>RTD("wdf.rtq",,A94, "rt_oi","RT_Price")</f>
        <v>175</v>
      </c>
      <c r="K94" s="2">
        <f>RTD("wdf.rtq",,A94,"ImpliedVol")</f>
        <v>0.40860000000000002</v>
      </c>
      <c r="L94" s="2">
        <f>RTD("wdf.rtq",,A94, "rt_miv","RT_Price")</f>
        <v>0.39230000000000004</v>
      </c>
      <c r="M94" s="2">
        <f>RTD("wdf.rtq",,A94,"Delta")</f>
        <v>-0.86910000000000009</v>
      </c>
      <c r="N94" s="2">
        <f ca="1">RTD("wdf.rtq",,$A94,N$2)</f>
        <v>6.8500000000000005E-2</v>
      </c>
      <c r="O94" s="2">
        <f ca="1">RTD("wdf.rtq",,$A94,O$2)</f>
        <v>2.0000000000000001E-4</v>
      </c>
      <c r="P94" s="2">
        <f ca="1">RTD("wdf.rtq",,$A94,P$2)</f>
        <v>-3.0000000000000003E-4</v>
      </c>
      <c r="Q94" s="3">
        <f>[1]!w_info_ptmtradeday(A94,"")</f>
        <v>35</v>
      </c>
      <c r="R94" s="1" t="str">
        <f>[1]!w_info_callput(A94)</f>
        <v>认沽</v>
      </c>
      <c r="S94" s="7">
        <f>[1]!s_info_margin(A94)</f>
        <v>12087.4</v>
      </c>
    </row>
    <row r="95" spans="1:19" x14ac:dyDescent="0.25">
      <c r="A95" s="6" t="s">
        <v>110</v>
      </c>
      <c r="B95" s="9">
        <f>[1]!w_info_strikeprice(A95,"")</f>
        <v>4.7</v>
      </c>
      <c r="C95" s="2">
        <f>RTD("wdf.rtq",,A95,"LastPrice")</f>
        <v>0.91200000000000003</v>
      </c>
      <c r="D95" s="2">
        <f t="shared" si="1"/>
        <v>0.73805000000000009</v>
      </c>
      <c r="E95" s="2">
        <f>RTD("wdf.rtq",,A95,"Bid_Price1")</f>
        <v>0.73020000000000007</v>
      </c>
      <c r="F95" s="2">
        <f>RTD("wdf.rtq",,A95,"Ask_Price1")</f>
        <v>0.74590000000000001</v>
      </c>
      <c r="G95" s="2">
        <f>RTD("wdf.rtq",,A95,"Change")</f>
        <v>2.87E-2</v>
      </c>
      <c r="H95" s="2">
        <f>RTD("wdf.rtq",,A95,"PctChg")</f>
        <v>3.25</v>
      </c>
      <c r="I95" s="2">
        <f>RTD("wdf.rtq",,A95,"Volume")</f>
        <v>102</v>
      </c>
      <c r="J95" s="2">
        <f>RTD("wdf.rtq",,A95, "rt_oi","RT_Price")</f>
        <v>222</v>
      </c>
      <c r="K95" s="2">
        <f>RTD("wdf.rtq",,A95,"ImpliedVol")</f>
        <v>0.41810000000000003</v>
      </c>
      <c r="L95" s="2">
        <f>RTD("wdf.rtq",,A95, "rt_miv","RT_Price")</f>
        <v>0.40679999999999999</v>
      </c>
      <c r="M95" s="2">
        <f>RTD("wdf.rtq",,A95,"Delta")</f>
        <v>-0.89119999999999999</v>
      </c>
      <c r="N95" s="2">
        <f ca="1">RTD("wdf.rtq",,$A95,N$2)</f>
        <v>6.8500000000000005E-2</v>
      </c>
      <c r="O95" s="2">
        <f ca="1">RTD("wdf.rtq",,$A95,O$2)</f>
        <v>2.0000000000000001E-4</v>
      </c>
      <c r="P95" s="2">
        <f ca="1">RTD("wdf.rtq",,$A95,P$2)</f>
        <v>-3.0000000000000003E-4</v>
      </c>
      <c r="Q95" s="3">
        <f>[1]!w_info_ptmtradeday(A95,"")</f>
        <v>35</v>
      </c>
      <c r="R95" s="1" t="str">
        <f>[1]!w_info_callput(A95)</f>
        <v>认沽</v>
      </c>
      <c r="S95" s="7">
        <f>[1]!s_info_margin(A95)</f>
        <v>12993.4</v>
      </c>
    </row>
    <row r="96" spans="1:19" x14ac:dyDescent="0.25">
      <c r="A96" s="6" t="s">
        <v>111</v>
      </c>
      <c r="B96" s="9">
        <f>[1]!w_info_strikeprice(A96,"")</f>
        <v>4.8</v>
      </c>
      <c r="C96" s="2">
        <f>RTD("wdf.rtq",,A96,"LastPrice")</f>
        <v>0.8216</v>
      </c>
      <c r="D96" s="2">
        <f t="shared" si="1"/>
        <v>0.82735000000000003</v>
      </c>
      <c r="E96" s="2">
        <f>RTD("wdf.rtq",,A96,"Bid_Price1")</f>
        <v>0.81930000000000003</v>
      </c>
      <c r="F96" s="2">
        <f>RTD("wdf.rtq",,A96,"Ask_Price1")</f>
        <v>0.83540000000000003</v>
      </c>
      <c r="G96" s="2">
        <f>RTD("wdf.rtq",,A96,"Change")</f>
        <v>-0.1527</v>
      </c>
      <c r="H96" s="2">
        <f>RTD("wdf.rtq",,A96,"PctChg")</f>
        <v>-15.67</v>
      </c>
      <c r="I96" s="2">
        <f>RTD("wdf.rtq",,A96,"Volume")</f>
        <v>420</v>
      </c>
      <c r="J96" s="2">
        <f>RTD("wdf.rtq",,A96, "rt_oi","RT_Price")</f>
        <v>498</v>
      </c>
      <c r="K96" s="2">
        <f>RTD("wdf.rtq",,A96,"ImpliedVol")</f>
        <v>0.4168</v>
      </c>
      <c r="L96" s="2">
        <f>RTD("wdf.rtq",,A96, "rt_miv","RT_Price")</f>
        <v>0.4108</v>
      </c>
      <c r="M96" s="2">
        <f>RTD("wdf.rtq",,A96,"Delta")</f>
        <v>-0.85260000000000002</v>
      </c>
      <c r="N96" s="2">
        <f ca="1">RTD("wdf.rtq",,$A96,N$2)</f>
        <v>6.8500000000000005E-2</v>
      </c>
      <c r="O96" s="2">
        <f ca="1">RTD("wdf.rtq",,$A96,O$2)</f>
        <v>2.0000000000000001E-4</v>
      </c>
      <c r="P96" s="2">
        <f ca="1">RTD("wdf.rtq",,$A96,P$2)</f>
        <v>-3.0000000000000003E-4</v>
      </c>
      <c r="Q96" s="3">
        <f>[1]!w_info_ptmtradeday(A96,"")</f>
        <v>35</v>
      </c>
      <c r="R96" s="1" t="str">
        <f>[1]!w_info_callput(A96)</f>
        <v>认沽</v>
      </c>
      <c r="S96" s="7">
        <f>[1]!s_info_margin(A96)</f>
        <v>13920.4</v>
      </c>
    </row>
    <row r="97" spans="1:19" x14ac:dyDescent="0.25">
      <c r="A97" s="6" t="s">
        <v>112</v>
      </c>
      <c r="B97" s="9">
        <f>[1]!w_info_strikeprice(A97,"")</f>
        <v>2.85</v>
      </c>
      <c r="C97" s="2">
        <f>RTD("wdf.rtq",,A97,"LastPrice")</f>
        <v>1.6400000000000001E-2</v>
      </c>
      <c r="D97" s="2">
        <f t="shared" si="1"/>
        <v>1.6449999999999999E-2</v>
      </c>
      <c r="E97" s="2">
        <f>RTD("wdf.rtq",,A97,"Bid_Price1")</f>
        <v>1.6400000000000001E-2</v>
      </c>
      <c r="F97" s="2">
        <f>RTD("wdf.rtq",,A97,"Ask_Price1")</f>
        <v>1.6500000000000001E-2</v>
      </c>
      <c r="G97" s="2">
        <f>RTD("wdf.rtq",,A97,"Change")</f>
        <v>-2.6000000000000003E-3</v>
      </c>
      <c r="H97" s="2">
        <f>RTD("wdf.rtq",,A97,"PctChg")</f>
        <v>-13.68</v>
      </c>
      <c r="I97" s="2">
        <f>RTD("wdf.rtq",,A97,"Volume")</f>
        <v>77913</v>
      </c>
      <c r="J97" s="2">
        <f>RTD("wdf.rtq",,A97, "rt_oi","RT_Price")</f>
        <v>88507</v>
      </c>
      <c r="K97" s="2">
        <f>RTD("wdf.rtq",,A97,"ImpliedVol")</f>
        <v>0.44430000000000003</v>
      </c>
      <c r="L97" s="2">
        <f>RTD("wdf.rtq",,A97, "rt_miv","RT_Price")</f>
        <v>0.4456</v>
      </c>
      <c r="M97" s="2">
        <f>RTD("wdf.rtq",,A97,"Delta")</f>
        <v>-4.41E-2</v>
      </c>
      <c r="N97" s="2">
        <f ca="1">RTD("wdf.rtq",,$A97,N$2)</f>
        <v>6.8500000000000005E-2</v>
      </c>
      <c r="O97" s="2">
        <f ca="1">RTD("wdf.rtq",,$A97,O$2)</f>
        <v>2.0000000000000001E-4</v>
      </c>
      <c r="P97" s="2">
        <f ca="1">RTD("wdf.rtq",,$A97,P$2)</f>
        <v>-3.0000000000000003E-4</v>
      </c>
      <c r="Q97" s="3">
        <f>[1]!w_info_ptmtradeday(A97,"")</f>
        <v>55</v>
      </c>
      <c r="R97" s="1" t="str">
        <f>[1]!w_info_callput(A97)</f>
        <v>认沽</v>
      </c>
      <c r="S97" s="7">
        <f>[1]!s_info_margin(A97)</f>
        <v>2179</v>
      </c>
    </row>
    <row r="98" spans="1:19" x14ac:dyDescent="0.25">
      <c r="A98" s="6" t="s">
        <v>113</v>
      </c>
      <c r="B98" s="9">
        <f>[1]!w_info_strikeprice(A98,"")</f>
        <v>2.9</v>
      </c>
      <c r="C98" s="2">
        <f>RTD("wdf.rtq",,A98,"LastPrice")</f>
        <v>1.9100000000000002E-2</v>
      </c>
      <c r="D98" s="2">
        <f t="shared" si="1"/>
        <v>1.9050000000000001E-2</v>
      </c>
      <c r="E98" s="2">
        <f>RTD("wdf.rtq",,A98,"Bid_Price1")</f>
        <v>1.9E-2</v>
      </c>
      <c r="F98" s="2">
        <f>RTD("wdf.rtq",,A98,"Ask_Price1")</f>
        <v>1.9100000000000002E-2</v>
      </c>
      <c r="G98" s="2">
        <f>RTD("wdf.rtq",,A98,"Change")</f>
        <v>-3.4000000000000002E-3</v>
      </c>
      <c r="H98" s="2">
        <f>RTD("wdf.rtq",,A98,"PctChg")</f>
        <v>-15.110000000000001</v>
      </c>
      <c r="I98" s="2">
        <f>RTD("wdf.rtq",,A98,"Volume")</f>
        <v>11705</v>
      </c>
      <c r="J98" s="2">
        <f>RTD("wdf.rtq",,A98, "rt_oi","RT_Price")</f>
        <v>82733</v>
      </c>
      <c r="K98" s="2">
        <f>RTD("wdf.rtq",,A98,"ImpliedVol")</f>
        <v>0.43880000000000002</v>
      </c>
      <c r="L98" s="2">
        <f>RTD("wdf.rtq",,A98, "rt_miv","RT_Price")</f>
        <v>0.44030000000000002</v>
      </c>
      <c r="M98" s="2">
        <f>RTD("wdf.rtq",,A98,"Delta")</f>
        <v>-5.0900000000000001E-2</v>
      </c>
      <c r="N98" s="2">
        <f ca="1">RTD("wdf.rtq",,$A98,N$2)</f>
        <v>6.8500000000000005E-2</v>
      </c>
      <c r="O98" s="2">
        <f ca="1">RTD("wdf.rtq",,$A98,O$2)</f>
        <v>2.0000000000000001E-4</v>
      </c>
      <c r="P98" s="2">
        <f ca="1">RTD("wdf.rtq",,$A98,P$2)</f>
        <v>-3.0000000000000003E-4</v>
      </c>
      <c r="Q98" s="3">
        <f>[1]!w_info_ptmtradeday(A98,"")</f>
        <v>55</v>
      </c>
      <c r="R98" s="1" t="str">
        <f>[1]!w_info_callput(A98)</f>
        <v>认沽</v>
      </c>
      <c r="S98" s="7">
        <f>[1]!s_info_margin(A98)</f>
        <v>2247</v>
      </c>
    </row>
    <row r="99" spans="1:19" x14ac:dyDescent="0.25">
      <c r="A99" s="6" t="s">
        <v>114</v>
      </c>
      <c r="B99" s="9">
        <f>[1]!w_info_strikeprice(A99,"")</f>
        <v>2.95</v>
      </c>
      <c r="C99" s="2">
        <f>RTD("wdf.rtq",,A99,"LastPrice")</f>
        <v>2.3200000000000002E-2</v>
      </c>
      <c r="D99" s="2">
        <f t="shared" si="1"/>
        <v>2.2950000000000002E-2</v>
      </c>
      <c r="E99" s="2">
        <f>RTD("wdf.rtq",,A99,"Bid_Price1")</f>
        <v>2.2500000000000003E-2</v>
      </c>
      <c r="F99" s="2">
        <f>RTD("wdf.rtq",,A99,"Ask_Price1")</f>
        <v>2.3400000000000001E-2</v>
      </c>
      <c r="G99" s="2">
        <f>RTD("wdf.rtq",,A99,"Change")</f>
        <v>-4.7000000000000002E-3</v>
      </c>
      <c r="H99" s="2">
        <f>RTD("wdf.rtq",,A99,"PctChg")</f>
        <v>-16.850000000000001</v>
      </c>
      <c r="I99" s="2">
        <f>RTD("wdf.rtq",,A99,"Volume")</f>
        <v>2299</v>
      </c>
      <c r="J99" s="2">
        <f>RTD("wdf.rtq",,A99, "rt_oi","RT_Price")</f>
        <v>14690</v>
      </c>
      <c r="K99" s="2">
        <f>RTD("wdf.rtq",,A99,"ImpliedVol")</f>
        <v>0.43840000000000001</v>
      </c>
      <c r="L99" s="2">
        <f>RTD("wdf.rtq",,A99, "rt_miv","RT_Price")</f>
        <v>0.43930000000000002</v>
      </c>
      <c r="M99" s="2">
        <f>RTD("wdf.rtq",,A99,"Delta")</f>
        <v>-6.0100000000000001E-2</v>
      </c>
      <c r="N99" s="2">
        <f ca="1">RTD("wdf.rtq",,$A99,N$2)</f>
        <v>6.8500000000000005E-2</v>
      </c>
      <c r="O99" s="2">
        <f ca="1">RTD("wdf.rtq",,$A99,O$2)</f>
        <v>2.0000000000000001E-4</v>
      </c>
      <c r="P99" s="2">
        <f ca="1">RTD("wdf.rtq",,$A99,P$2)</f>
        <v>-3.0000000000000003E-4</v>
      </c>
      <c r="Q99" s="3">
        <f>[1]!w_info_ptmtradeday(A99,"")</f>
        <v>55</v>
      </c>
      <c r="R99" s="1" t="str">
        <f>[1]!w_info_callput(A99)</f>
        <v>认沽</v>
      </c>
      <c r="S99" s="7">
        <f>[1]!s_info_margin(A99)</f>
        <v>2330</v>
      </c>
    </row>
    <row r="100" spans="1:19" x14ac:dyDescent="0.25">
      <c r="A100" s="6" t="s">
        <v>115</v>
      </c>
      <c r="B100" s="9">
        <f>[1]!w_info_strikeprice(A100,"")</f>
        <v>3</v>
      </c>
      <c r="C100" s="2">
        <f>RTD("wdf.rtq",,A100,"LastPrice")</f>
        <v>2.6500000000000003E-2</v>
      </c>
      <c r="D100" s="2">
        <f t="shared" si="1"/>
        <v>2.6500000000000003E-2</v>
      </c>
      <c r="E100" s="2">
        <f>RTD("wdf.rtq",,A100,"Bid_Price1")</f>
        <v>2.6200000000000001E-2</v>
      </c>
      <c r="F100" s="2">
        <f>RTD("wdf.rtq",,A100,"Ask_Price1")</f>
        <v>2.6800000000000001E-2</v>
      </c>
      <c r="G100" s="2">
        <f>RTD("wdf.rtq",,A100,"Change")</f>
        <v>-6.1000000000000004E-3</v>
      </c>
      <c r="H100" s="2">
        <f>RTD("wdf.rtq",,A100,"PctChg")</f>
        <v>-18.71</v>
      </c>
      <c r="I100" s="2">
        <f>RTD("wdf.rtq",,A100,"Volume")</f>
        <v>2743</v>
      </c>
      <c r="J100" s="2">
        <f>RTD("wdf.rtq",,A100, "rt_oi","RT_Price")</f>
        <v>12117</v>
      </c>
      <c r="K100" s="2">
        <f>RTD("wdf.rtq",,A100,"ImpliedVol")</f>
        <v>0.4335</v>
      </c>
      <c r="L100" s="2">
        <f>RTD("wdf.rtq",,A100, "rt_miv","RT_Price")</f>
        <v>0.4345</v>
      </c>
      <c r="M100" s="2">
        <f>RTD("wdf.rtq",,A100,"Delta")</f>
        <v>-6.7900000000000002E-2</v>
      </c>
      <c r="N100" s="2">
        <f ca="1">RTD("wdf.rtq",,$A100,N$2)</f>
        <v>6.8500000000000005E-2</v>
      </c>
      <c r="O100" s="2">
        <f ca="1">RTD("wdf.rtq",,$A100,O$2)</f>
        <v>2.0000000000000001E-4</v>
      </c>
      <c r="P100" s="2">
        <f ca="1">RTD("wdf.rtq",,$A100,P$2)</f>
        <v>-3.0000000000000003E-4</v>
      </c>
      <c r="Q100" s="3">
        <f>[1]!w_info_ptmtradeday(A100,"")</f>
        <v>55</v>
      </c>
      <c r="R100" s="1" t="str">
        <f>[1]!w_info_callput(A100)</f>
        <v>认沽</v>
      </c>
      <c r="S100" s="7">
        <f>[1]!s_info_margin(A100)</f>
        <v>2411</v>
      </c>
    </row>
    <row r="101" spans="1:19" x14ac:dyDescent="0.25">
      <c r="A101" s="6" t="s">
        <v>116</v>
      </c>
      <c r="B101" s="9">
        <f>[1]!w_info_strikeprice(A101,"")</f>
        <v>3.1</v>
      </c>
      <c r="C101" s="2">
        <f>RTD("wdf.rtq",,A101,"LastPrice")</f>
        <v>3.4700000000000002E-2</v>
      </c>
      <c r="D101" s="2">
        <f t="shared" si="1"/>
        <v>3.4950000000000002E-2</v>
      </c>
      <c r="E101" s="2">
        <f>RTD("wdf.rtq",,A101,"Bid_Price1")</f>
        <v>3.4500000000000003E-2</v>
      </c>
      <c r="F101" s="2">
        <f>RTD("wdf.rtq",,A101,"Ask_Price1")</f>
        <v>3.5400000000000001E-2</v>
      </c>
      <c r="G101" s="2">
        <f>RTD("wdf.rtq",,A101,"Change")</f>
        <v>-9.0000000000000011E-3</v>
      </c>
      <c r="H101" s="2">
        <f>RTD("wdf.rtq",,A101,"PctChg")</f>
        <v>-20.59</v>
      </c>
      <c r="I101" s="2">
        <f>RTD("wdf.rtq",,A101,"Volume")</f>
        <v>3750</v>
      </c>
      <c r="J101" s="2">
        <f>RTD("wdf.rtq",,A101, "rt_oi","RT_Price")</f>
        <v>5674</v>
      </c>
      <c r="K101" s="2">
        <f>RTD("wdf.rtq",,A101,"ImpliedVol")</f>
        <v>0.42220000000000002</v>
      </c>
      <c r="L101" s="2">
        <f>RTD("wdf.rtq",,A101, "rt_miv","RT_Price")</f>
        <v>0.4249</v>
      </c>
      <c r="M101" s="2">
        <f>RTD("wdf.rtq",,A101,"Delta")</f>
        <v>-8.7100000000000011E-2</v>
      </c>
      <c r="N101" s="2">
        <f ca="1">RTD("wdf.rtq",,$A101,N$2)</f>
        <v>6.8500000000000005E-2</v>
      </c>
      <c r="O101" s="2">
        <f ca="1">RTD("wdf.rtq",,$A101,O$2)</f>
        <v>2.0000000000000001E-4</v>
      </c>
      <c r="P101" s="2">
        <f ca="1">RTD("wdf.rtq",,$A101,P$2)</f>
        <v>-3.0000000000000003E-4</v>
      </c>
      <c r="Q101" s="3">
        <f>[1]!w_info_ptmtradeday(A101,"")</f>
        <v>55</v>
      </c>
      <c r="R101" s="1" t="str">
        <f>[1]!w_info_callput(A101)</f>
        <v>认沽</v>
      </c>
      <c r="S101" s="7">
        <f>[1]!s_info_margin(A101)</f>
        <v>2582</v>
      </c>
    </row>
    <row r="102" spans="1:19" x14ac:dyDescent="0.25">
      <c r="A102" s="6" t="s">
        <v>117</v>
      </c>
      <c r="B102" s="9">
        <f>[1]!w_info_strikeprice(A102,"")</f>
        <v>3.2</v>
      </c>
      <c r="C102" s="2">
        <f>RTD("wdf.rtq",,A102,"LastPrice")</f>
        <v>4.5900000000000003E-2</v>
      </c>
      <c r="D102" s="2">
        <f t="shared" si="1"/>
        <v>4.5650000000000003E-2</v>
      </c>
      <c r="E102" s="2">
        <f>RTD("wdf.rtq",,A102,"Bid_Price1")</f>
        <v>4.5400000000000003E-2</v>
      </c>
      <c r="F102" s="2">
        <f>RTD("wdf.rtq",,A102,"Ask_Price1")</f>
        <v>4.5900000000000003E-2</v>
      </c>
      <c r="G102" s="2">
        <f>RTD("wdf.rtq",,A102,"Change")</f>
        <v>-1.3000000000000001E-2</v>
      </c>
      <c r="H102" s="2">
        <f>RTD("wdf.rtq",,A102,"PctChg")</f>
        <v>-22.07</v>
      </c>
      <c r="I102" s="2">
        <f>RTD("wdf.rtq",,A102,"Volume")</f>
        <v>2815</v>
      </c>
      <c r="J102" s="2">
        <f>RTD("wdf.rtq",,A102, "rt_oi","RT_Price")</f>
        <v>7060</v>
      </c>
      <c r="K102" s="2">
        <f>RTD("wdf.rtq",,A102,"ImpliedVol")</f>
        <v>0.41460000000000002</v>
      </c>
      <c r="L102" s="2">
        <f>RTD("wdf.rtq",,A102, "rt_miv","RT_Price")</f>
        <v>0.41560000000000002</v>
      </c>
      <c r="M102" s="2">
        <f>RTD("wdf.rtq",,A102,"Delta")</f>
        <v>-0.111</v>
      </c>
      <c r="N102" s="2">
        <f ca="1">RTD("wdf.rtq",,$A102,N$2)</f>
        <v>6.8500000000000005E-2</v>
      </c>
      <c r="O102" s="2">
        <f ca="1">RTD("wdf.rtq",,$A102,O$2)</f>
        <v>2.0000000000000001E-4</v>
      </c>
      <c r="P102" s="2">
        <f ca="1">RTD("wdf.rtq",,$A102,P$2)</f>
        <v>-3.0000000000000003E-4</v>
      </c>
      <c r="Q102" s="3">
        <f>[1]!w_info_ptmtradeday(A102,"")</f>
        <v>55</v>
      </c>
      <c r="R102" s="1" t="str">
        <f>[1]!w_info_callput(A102)</f>
        <v>认沽</v>
      </c>
      <c r="S102" s="7">
        <f>[1]!s_info_margin(A102)</f>
        <v>2792</v>
      </c>
    </row>
    <row r="103" spans="1:19" x14ac:dyDescent="0.25">
      <c r="A103" s="6" t="s">
        <v>118</v>
      </c>
      <c r="B103" s="9">
        <f>[1]!w_info_strikeprice(A103,"")</f>
        <v>3.3</v>
      </c>
      <c r="C103" s="2">
        <f>RTD("wdf.rtq",,A103,"LastPrice")</f>
        <v>5.9800000000000006E-2</v>
      </c>
      <c r="D103" s="2">
        <f t="shared" si="1"/>
        <v>6.0600000000000001E-2</v>
      </c>
      <c r="E103" s="2">
        <f>RTD("wdf.rtq",,A103,"Bid_Price1")</f>
        <v>5.9800000000000006E-2</v>
      </c>
      <c r="F103" s="2">
        <f>RTD("wdf.rtq",,A103,"Ask_Price1")</f>
        <v>6.1400000000000003E-2</v>
      </c>
      <c r="G103" s="2">
        <f>RTD("wdf.rtq",,A103,"Change")</f>
        <v>-1.8800000000000001E-2</v>
      </c>
      <c r="H103" s="2">
        <f>RTD("wdf.rtq",,A103,"PctChg")</f>
        <v>-23.92</v>
      </c>
      <c r="I103" s="2">
        <f>RTD("wdf.rtq",,A103,"Volume")</f>
        <v>2743</v>
      </c>
      <c r="J103" s="2">
        <f>RTD("wdf.rtq",,A103, "rt_oi","RT_Price")</f>
        <v>7444</v>
      </c>
      <c r="K103" s="2">
        <f>RTD("wdf.rtq",,A103,"ImpliedVol")</f>
        <v>0.40700000000000003</v>
      </c>
      <c r="L103" s="2">
        <f>RTD("wdf.rtq",,A103, "rt_miv","RT_Price")</f>
        <v>0.4103</v>
      </c>
      <c r="M103" s="2">
        <f>RTD("wdf.rtq",,A103,"Delta")</f>
        <v>-0.1399</v>
      </c>
      <c r="N103" s="2">
        <f ca="1">RTD("wdf.rtq",,$A103,N$2)</f>
        <v>6.8500000000000005E-2</v>
      </c>
      <c r="O103" s="2">
        <f ca="1">RTD("wdf.rtq",,$A103,O$2)</f>
        <v>2.0000000000000001E-4</v>
      </c>
      <c r="P103" s="2">
        <f ca="1">RTD("wdf.rtq",,$A103,P$2)</f>
        <v>-3.0000000000000003E-4</v>
      </c>
      <c r="Q103" s="3">
        <f>[1]!w_info_ptmtradeday(A103,"")</f>
        <v>55</v>
      </c>
      <c r="R103" s="1" t="str">
        <f>[1]!w_info_callput(A103)</f>
        <v>认沽</v>
      </c>
      <c r="S103" s="7">
        <f>[1]!s_info_margin(A103)</f>
        <v>3038</v>
      </c>
    </row>
    <row r="104" spans="1:19" x14ac:dyDescent="0.25">
      <c r="A104" s="6" t="s">
        <v>119</v>
      </c>
      <c r="B104" s="9">
        <f>[1]!w_info_strikeprice(A104,"")</f>
        <v>3.4</v>
      </c>
      <c r="C104" s="2">
        <f>RTD("wdf.rtq",,A104,"LastPrice")</f>
        <v>7.7700000000000005E-2</v>
      </c>
      <c r="D104" s="2">
        <f t="shared" si="1"/>
        <v>7.8550000000000009E-2</v>
      </c>
      <c r="E104" s="2">
        <f>RTD("wdf.rtq",,A104,"Bid_Price1")</f>
        <v>7.740000000000001E-2</v>
      </c>
      <c r="F104" s="2">
        <f>RTD("wdf.rtq",,A104,"Ask_Price1")</f>
        <v>7.9700000000000007E-2</v>
      </c>
      <c r="G104" s="2">
        <f>RTD("wdf.rtq",,A104,"Change")</f>
        <v>-2.58E-2</v>
      </c>
      <c r="H104" s="2">
        <f>RTD("wdf.rtq",,A104,"PctChg")</f>
        <v>-24.930000000000003</v>
      </c>
      <c r="I104" s="2">
        <f>RTD("wdf.rtq",,A104,"Volume")</f>
        <v>3668</v>
      </c>
      <c r="J104" s="2">
        <f>RTD("wdf.rtq",,A104, "rt_oi","RT_Price")</f>
        <v>6394</v>
      </c>
      <c r="K104" s="2">
        <f>RTD("wdf.rtq",,A104,"ImpliedVol")</f>
        <v>0.40060000000000001</v>
      </c>
      <c r="L104" s="2">
        <f>RTD("wdf.rtq",,A104, "rt_miv","RT_Price")</f>
        <v>0.40410000000000001</v>
      </c>
      <c r="M104" s="2">
        <f>RTD("wdf.rtq",,A104,"Delta")</f>
        <v>-0.17470000000000002</v>
      </c>
      <c r="N104" s="2">
        <f ca="1">RTD("wdf.rtq",,$A104,N$2)</f>
        <v>6.8500000000000005E-2</v>
      </c>
      <c r="O104" s="2">
        <f ca="1">RTD("wdf.rtq",,$A104,O$2)</f>
        <v>2.0000000000000001E-4</v>
      </c>
      <c r="P104" s="2">
        <f ca="1">RTD("wdf.rtq",,$A104,P$2)</f>
        <v>-3.0000000000000003E-4</v>
      </c>
      <c r="Q104" s="3">
        <f>[1]!w_info_ptmtradeday(A104,"")</f>
        <v>55</v>
      </c>
      <c r="R104" s="1" t="str">
        <f>[1]!w_info_callput(A104)</f>
        <v>认沽</v>
      </c>
      <c r="S104" s="7">
        <f>[1]!s_info_margin(A104)</f>
        <v>3335</v>
      </c>
    </row>
    <row r="105" spans="1:19" x14ac:dyDescent="0.25">
      <c r="A105" s="6" t="s">
        <v>120</v>
      </c>
      <c r="B105" s="9">
        <f>[1]!w_info_strikeprice(A105,"")</f>
        <v>3.5</v>
      </c>
      <c r="C105" s="2">
        <f>RTD("wdf.rtq",,A105,"LastPrice")</f>
        <v>0.1003</v>
      </c>
      <c r="D105" s="2">
        <f t="shared" si="1"/>
        <v>0.10125000000000001</v>
      </c>
      <c r="E105" s="2">
        <f>RTD("wdf.rtq",,A105,"Bid_Price1")</f>
        <v>9.9000000000000005E-2</v>
      </c>
      <c r="F105" s="2">
        <f>RTD("wdf.rtq",,A105,"Ask_Price1")</f>
        <v>0.10350000000000001</v>
      </c>
      <c r="G105" s="2">
        <f>RTD("wdf.rtq",,A105,"Change")</f>
        <v>-3.3399999999999999E-2</v>
      </c>
      <c r="H105" s="2">
        <f>RTD("wdf.rtq",,A105,"PctChg")</f>
        <v>-24.980000000000004</v>
      </c>
      <c r="I105" s="2">
        <f>RTD("wdf.rtq",,A105,"Volume")</f>
        <v>3625</v>
      </c>
      <c r="J105" s="2">
        <f>RTD("wdf.rtq",,A105, "rt_oi","RT_Price")</f>
        <v>5095</v>
      </c>
      <c r="K105" s="2">
        <f>RTD("wdf.rtq",,A105,"ImpliedVol")</f>
        <v>0.39610000000000001</v>
      </c>
      <c r="L105" s="2">
        <f>RTD("wdf.rtq",,A105, "rt_miv","RT_Price")</f>
        <v>0.39950000000000002</v>
      </c>
      <c r="M105" s="2">
        <f>RTD("wdf.rtq",,A105,"Delta")</f>
        <v>-0.21480000000000002</v>
      </c>
      <c r="N105" s="2">
        <f ca="1">RTD("wdf.rtq",,$A105,N$2)</f>
        <v>6.8500000000000005E-2</v>
      </c>
      <c r="O105" s="2">
        <f ca="1">RTD("wdf.rtq",,$A105,O$2)</f>
        <v>2.0000000000000001E-4</v>
      </c>
      <c r="P105" s="2">
        <f ca="1">RTD("wdf.rtq",,$A105,P$2)</f>
        <v>-3.0000000000000003E-4</v>
      </c>
      <c r="Q105" s="3">
        <f>[1]!w_info_ptmtradeday(A105,"")</f>
        <v>55</v>
      </c>
      <c r="R105" s="1" t="str">
        <f>[1]!w_info_callput(A105)</f>
        <v>认沽</v>
      </c>
      <c r="S105" s="7">
        <f>[1]!s_info_margin(A105)</f>
        <v>3682</v>
      </c>
    </row>
    <row r="106" spans="1:19" x14ac:dyDescent="0.25">
      <c r="A106" s="6" t="s">
        <v>121</v>
      </c>
      <c r="B106" s="9">
        <f>[1]!w_info_strikeprice(A106,"")</f>
        <v>3.6</v>
      </c>
      <c r="C106" s="2">
        <f>RTD("wdf.rtq",,A106,"LastPrice")</f>
        <v>0.1295</v>
      </c>
      <c r="D106" s="2">
        <f t="shared" si="1"/>
        <v>0.12975</v>
      </c>
      <c r="E106" s="2">
        <f>RTD("wdf.rtq",,A106,"Bid_Price1")</f>
        <v>0.1295</v>
      </c>
      <c r="F106" s="2">
        <f>RTD("wdf.rtq",,A106,"Ask_Price1")</f>
        <v>0.13</v>
      </c>
      <c r="G106" s="2">
        <f>RTD("wdf.rtq",,A106,"Change")</f>
        <v>-4.0800000000000003E-2</v>
      </c>
      <c r="H106" s="2">
        <f>RTD("wdf.rtq",,A106,"PctChg")</f>
        <v>-23.96</v>
      </c>
      <c r="I106" s="2">
        <f>RTD("wdf.rtq",,A106,"Volume")</f>
        <v>3784</v>
      </c>
      <c r="J106" s="2">
        <f>RTD("wdf.rtq",,A106, "rt_oi","RT_Price")</f>
        <v>8643</v>
      </c>
      <c r="K106" s="2">
        <f>RTD("wdf.rtq",,A106,"ImpliedVol")</f>
        <v>0.39530000000000004</v>
      </c>
      <c r="L106" s="2">
        <f>RTD("wdf.rtq",,A106, "rt_miv","RT_Price")</f>
        <v>0.3972</v>
      </c>
      <c r="M106" s="2">
        <f>RTD("wdf.rtq",,A106,"Delta")</f>
        <v>-0.2606</v>
      </c>
      <c r="N106" s="2">
        <f ca="1">RTD("wdf.rtq",,$A106,N$2)</f>
        <v>6.8500000000000005E-2</v>
      </c>
      <c r="O106" s="2">
        <f ca="1">RTD("wdf.rtq",,$A106,O$2)</f>
        <v>2.0000000000000001E-4</v>
      </c>
      <c r="P106" s="2">
        <f ca="1">RTD("wdf.rtq",,$A106,P$2)</f>
        <v>-3.0000000000000003E-4</v>
      </c>
      <c r="Q106" s="3">
        <f>[1]!w_info_ptmtradeday(A106,"")</f>
        <v>55</v>
      </c>
      <c r="R106" s="1" t="str">
        <f>[1]!w_info_callput(A106)</f>
        <v>认沽</v>
      </c>
      <c r="S106" s="7">
        <f>[1]!s_info_margin(A106)</f>
        <v>4072</v>
      </c>
    </row>
    <row r="107" spans="1:19" x14ac:dyDescent="0.25">
      <c r="A107" s="6" t="s">
        <v>122</v>
      </c>
      <c r="B107" s="9">
        <f>[1]!w_info_strikeprice(A107,"")</f>
        <v>3.7</v>
      </c>
      <c r="C107" s="2">
        <f>RTD("wdf.rtq",,A107,"LastPrice")</f>
        <v>0.16190000000000002</v>
      </c>
      <c r="D107" s="2">
        <f t="shared" si="1"/>
        <v>0.16075</v>
      </c>
      <c r="E107" s="2">
        <f>RTD("wdf.rtq",,A107,"Bid_Price1")</f>
        <v>0.15960000000000002</v>
      </c>
      <c r="F107" s="2">
        <f>RTD("wdf.rtq",,A107,"Ask_Price1")</f>
        <v>0.16190000000000002</v>
      </c>
      <c r="G107" s="2">
        <f>RTD("wdf.rtq",,A107,"Change")</f>
        <v>-5.11E-2</v>
      </c>
      <c r="H107" s="2">
        <f>RTD("wdf.rtq",,A107,"PctChg")</f>
        <v>-23.990000000000002</v>
      </c>
      <c r="I107" s="2">
        <f>RTD("wdf.rtq",,A107,"Volume")</f>
        <v>3842</v>
      </c>
      <c r="J107" s="2">
        <f>RTD("wdf.rtq",,A107, "rt_oi","RT_Price")</f>
        <v>10525</v>
      </c>
      <c r="K107" s="2">
        <f>RTD("wdf.rtq",,A107,"ImpliedVol")</f>
        <v>0.39119999999999999</v>
      </c>
      <c r="L107" s="2">
        <f>RTD("wdf.rtq",,A107, "rt_miv","RT_Price")</f>
        <v>0.39100000000000001</v>
      </c>
      <c r="M107" s="2">
        <f>RTD("wdf.rtq",,A107,"Delta")</f>
        <v>-0.30910000000000004</v>
      </c>
      <c r="N107" s="2">
        <f ca="1">RTD("wdf.rtq",,$A107,N$2)</f>
        <v>6.8500000000000005E-2</v>
      </c>
      <c r="O107" s="2">
        <f ca="1">RTD("wdf.rtq",,$A107,O$2)</f>
        <v>2.0000000000000001E-4</v>
      </c>
      <c r="P107" s="2">
        <f ca="1">RTD("wdf.rtq",,$A107,P$2)</f>
        <v>-3.0000000000000003E-4</v>
      </c>
      <c r="Q107" s="3">
        <f>[1]!w_info_ptmtradeday(A107,"")</f>
        <v>55</v>
      </c>
      <c r="R107" s="1" t="str">
        <f>[1]!w_info_callput(A107)</f>
        <v>认沽</v>
      </c>
      <c r="S107" s="7">
        <f>[1]!s_info_margin(A107)</f>
        <v>4525</v>
      </c>
    </row>
    <row r="108" spans="1:19" x14ac:dyDescent="0.25">
      <c r="A108" s="6" t="s">
        <v>123</v>
      </c>
      <c r="B108" s="9">
        <f>[1]!w_info_strikeprice(A108,"")</f>
        <v>3.8</v>
      </c>
      <c r="C108" s="2">
        <f>RTD("wdf.rtq",,A108,"LastPrice")</f>
        <v>0.2041</v>
      </c>
      <c r="D108" s="2">
        <f t="shared" si="1"/>
        <v>0.2001</v>
      </c>
      <c r="E108" s="2">
        <f>RTD("wdf.rtq",,A108,"Bid_Price1")</f>
        <v>0.19800000000000001</v>
      </c>
      <c r="F108" s="2">
        <f>RTD("wdf.rtq",,A108,"Ask_Price1")</f>
        <v>0.20220000000000002</v>
      </c>
      <c r="G108" s="2">
        <f>RTD("wdf.rtq",,A108,"Change")</f>
        <v>-5.8300000000000005E-2</v>
      </c>
      <c r="H108" s="2">
        <f>RTD("wdf.rtq",,A108,"PctChg")</f>
        <v>-22.220000000000002</v>
      </c>
      <c r="I108" s="2">
        <f>RTD("wdf.rtq",,A108,"Volume")</f>
        <v>4132</v>
      </c>
      <c r="J108" s="2">
        <f>RTD("wdf.rtq",,A108, "rt_oi","RT_Price")</f>
        <v>9451</v>
      </c>
      <c r="K108" s="2">
        <f>RTD("wdf.rtq",,A108,"ImpliedVol")</f>
        <v>0.38980000000000004</v>
      </c>
      <c r="L108" s="2">
        <f>RTD("wdf.rtq",,A108, "rt_miv","RT_Price")</f>
        <v>0.38970000000000005</v>
      </c>
      <c r="M108" s="2">
        <f>RTD("wdf.rtq",,A108,"Delta")</f>
        <v>-0.36510000000000004</v>
      </c>
      <c r="N108" s="2">
        <f ca="1">RTD("wdf.rtq",,$A108,N$2)</f>
        <v>6.8500000000000005E-2</v>
      </c>
      <c r="O108" s="2">
        <f ca="1">RTD("wdf.rtq",,$A108,O$2)</f>
        <v>2.0000000000000001E-4</v>
      </c>
      <c r="P108" s="2">
        <f ca="1">RTD("wdf.rtq",,$A108,P$2)</f>
        <v>-3.0000000000000003E-4</v>
      </c>
      <c r="Q108" s="3">
        <f>[1]!w_info_ptmtradeday(A108,"")</f>
        <v>55</v>
      </c>
      <c r="R108" s="1" t="str">
        <f>[1]!w_info_callput(A108)</f>
        <v>认沽</v>
      </c>
      <c r="S108" s="7">
        <f>[1]!s_info_margin(A108)</f>
        <v>5783.4</v>
      </c>
    </row>
    <row r="109" spans="1:19" x14ac:dyDescent="0.25">
      <c r="A109" s="6" t="s">
        <v>124</v>
      </c>
      <c r="B109" s="9">
        <f>[1]!w_info_strikeprice(A109,"")</f>
        <v>3.9</v>
      </c>
      <c r="C109" s="2">
        <f>RTD("wdf.rtq",,A109,"LastPrice")</f>
        <v>0.24630000000000002</v>
      </c>
      <c r="D109" s="2">
        <f t="shared" si="1"/>
        <v>0.24390000000000001</v>
      </c>
      <c r="E109" s="2">
        <f>RTD("wdf.rtq",,A109,"Bid_Price1")</f>
        <v>0.24070000000000003</v>
      </c>
      <c r="F109" s="2">
        <f>RTD("wdf.rtq",,A109,"Ask_Price1")</f>
        <v>0.24710000000000001</v>
      </c>
      <c r="G109" s="2">
        <f>RTD("wdf.rtq",,A109,"Change")</f>
        <v>-7.1000000000000008E-2</v>
      </c>
      <c r="H109" s="2">
        <f>RTD("wdf.rtq",,A109,"PctChg")</f>
        <v>-22.38</v>
      </c>
      <c r="I109" s="2">
        <f>RTD("wdf.rtq",,A109,"Volume")</f>
        <v>5651</v>
      </c>
      <c r="J109" s="2">
        <f>RTD("wdf.rtq",,A109, "rt_oi","RT_Price")</f>
        <v>14299</v>
      </c>
      <c r="K109" s="2">
        <f>RTD("wdf.rtq",,A109,"ImpliedVol")</f>
        <v>0.38820000000000005</v>
      </c>
      <c r="L109" s="2">
        <f>RTD("wdf.rtq",,A109, "rt_miv","RT_Price")</f>
        <v>0.38700000000000001</v>
      </c>
      <c r="M109" s="2">
        <f>RTD("wdf.rtq",,A109,"Delta")</f>
        <v>-0.4163</v>
      </c>
      <c r="N109" s="2">
        <f ca="1">RTD("wdf.rtq",,$A109,N$2)</f>
        <v>6.8500000000000005E-2</v>
      </c>
      <c r="O109" s="2">
        <f ca="1">RTD("wdf.rtq",,$A109,O$2)</f>
        <v>2.0000000000000001E-4</v>
      </c>
      <c r="P109" s="2">
        <f ca="1">RTD("wdf.rtq",,$A109,P$2)</f>
        <v>-3.0000000000000003E-4</v>
      </c>
      <c r="Q109" s="3">
        <f>[1]!w_info_ptmtradeday(A109,"")</f>
        <v>55</v>
      </c>
      <c r="R109" s="1" t="str">
        <f>[1]!w_info_callput(A109)</f>
        <v>认沽</v>
      </c>
      <c r="S109" s="7">
        <f>[1]!s_info_margin(A109)</f>
        <v>7305.4</v>
      </c>
    </row>
    <row r="110" spans="1:19" x14ac:dyDescent="0.25">
      <c r="A110" s="6" t="s">
        <v>125</v>
      </c>
      <c r="B110" s="9">
        <f>[1]!w_info_strikeprice(A110,"")</f>
        <v>4</v>
      </c>
      <c r="C110" s="2">
        <f>RTD("wdf.rtq",,A110,"LastPrice")</f>
        <v>0.29870000000000002</v>
      </c>
      <c r="D110" s="2">
        <f t="shared" si="1"/>
        <v>0.29535</v>
      </c>
      <c r="E110" s="2">
        <f>RTD("wdf.rtq",,A110,"Bid_Price1")</f>
        <v>0.29210000000000003</v>
      </c>
      <c r="F110" s="2">
        <f>RTD("wdf.rtq",,A110,"Ask_Price1")</f>
        <v>0.29860000000000003</v>
      </c>
      <c r="G110" s="2">
        <f>RTD("wdf.rtq",,A110,"Change")</f>
        <v>-8.0100000000000005E-2</v>
      </c>
      <c r="H110" s="2">
        <f>RTD("wdf.rtq",,A110,"PctChg")</f>
        <v>-21.150000000000002</v>
      </c>
      <c r="I110" s="2">
        <f>RTD("wdf.rtq",,A110,"Volume")</f>
        <v>2892</v>
      </c>
      <c r="J110" s="2">
        <f>RTD("wdf.rtq",,A110, "rt_oi","RT_Price")</f>
        <v>5123</v>
      </c>
      <c r="K110" s="2">
        <f>RTD("wdf.rtq",,A110,"ImpliedVol")</f>
        <v>0.38930000000000003</v>
      </c>
      <c r="L110" s="2">
        <f>RTD("wdf.rtq",,A110, "rt_miv","RT_Price")</f>
        <v>0.3871</v>
      </c>
      <c r="M110" s="2">
        <f>RTD("wdf.rtq",,A110,"Delta")</f>
        <v>-0.46940000000000004</v>
      </c>
      <c r="N110" s="2">
        <f ca="1">RTD("wdf.rtq",,$A110,N$2)</f>
        <v>6.8500000000000005E-2</v>
      </c>
      <c r="O110" s="2">
        <f ca="1">RTD("wdf.rtq",,$A110,O$2)</f>
        <v>2.0000000000000001E-4</v>
      </c>
      <c r="P110" s="2">
        <f ca="1">RTD("wdf.rtq",,$A110,P$2)</f>
        <v>-3.0000000000000003E-4</v>
      </c>
      <c r="Q110" s="3">
        <f>[1]!w_info_ptmtradeday(A110,"")</f>
        <v>55</v>
      </c>
      <c r="R110" s="1" t="str">
        <f>[1]!w_info_callput(A110)</f>
        <v>认沽</v>
      </c>
      <c r="S110" s="7">
        <f>[1]!s_info_margin(A110)</f>
        <v>8213.4</v>
      </c>
    </row>
    <row r="111" spans="1:19" x14ac:dyDescent="0.25">
      <c r="A111" s="6" t="s">
        <v>126</v>
      </c>
      <c r="B111" s="9">
        <f>[1]!w_info_strikeprice(A111,"")</f>
        <v>4.0999999999999996</v>
      </c>
      <c r="C111" s="2">
        <f>RTD("wdf.rtq",,A111,"LastPrice")</f>
        <v>0.35910000000000003</v>
      </c>
      <c r="D111" s="2">
        <f t="shared" si="1"/>
        <v>0.35820000000000002</v>
      </c>
      <c r="E111" s="2">
        <f>RTD("wdf.rtq",,A111,"Bid_Price1")</f>
        <v>0.35000000000000003</v>
      </c>
      <c r="F111" s="2">
        <f>RTD("wdf.rtq",,A111,"Ask_Price1")</f>
        <v>0.3664</v>
      </c>
      <c r="G111" s="2">
        <f>RTD("wdf.rtq",,A111,"Change")</f>
        <v>-8.6300000000000002E-2</v>
      </c>
      <c r="H111" s="2">
        <f>RTD("wdf.rtq",,A111,"PctChg")</f>
        <v>-19.38</v>
      </c>
      <c r="I111" s="2">
        <f>RTD("wdf.rtq",,A111,"Volume")</f>
        <v>930</v>
      </c>
      <c r="J111" s="2">
        <f>RTD("wdf.rtq",,A111, "rt_oi","RT_Price")</f>
        <v>5233</v>
      </c>
      <c r="K111" s="2">
        <f>RTD("wdf.rtq",,A111,"ImpliedVol")</f>
        <v>0.39269999999999999</v>
      </c>
      <c r="L111" s="2">
        <f>RTD("wdf.rtq",,A111, "rt_miv","RT_Price")</f>
        <v>0.39530000000000004</v>
      </c>
      <c r="M111" s="2">
        <f>RTD("wdf.rtq",,A111,"Delta")</f>
        <v>-0.52310000000000001</v>
      </c>
      <c r="N111" s="2">
        <f ca="1">RTD("wdf.rtq",,$A111,N$2)</f>
        <v>6.8500000000000005E-2</v>
      </c>
      <c r="O111" s="2">
        <f ca="1">RTD("wdf.rtq",,$A111,O$2)</f>
        <v>2.0000000000000001E-4</v>
      </c>
      <c r="P111" s="2">
        <f ca="1">RTD("wdf.rtq",,$A111,P$2)</f>
        <v>-3.0000000000000003E-4</v>
      </c>
      <c r="Q111" s="3">
        <f>[1]!w_info_ptmtradeday(A111,"")</f>
        <v>55</v>
      </c>
      <c r="R111" s="1" t="str">
        <f>[1]!w_info_callput(A111)</f>
        <v>认沽</v>
      </c>
      <c r="S111" s="7">
        <f>[1]!s_info_margin(A111)</f>
        <v>8798.4</v>
      </c>
    </row>
    <row r="112" spans="1:19" x14ac:dyDescent="0.25">
      <c r="A112" s="6" t="s">
        <v>127</v>
      </c>
      <c r="B112" s="9">
        <f>[1]!w_info_strikeprice(A112,"")</f>
        <v>4.2</v>
      </c>
      <c r="C112" s="2">
        <f>RTD("wdf.rtq",,A112,"LastPrice")</f>
        <v>0.4269</v>
      </c>
      <c r="D112" s="2">
        <f t="shared" si="1"/>
        <v>0.42210000000000003</v>
      </c>
      <c r="E112" s="2">
        <f>RTD("wdf.rtq",,A112,"Bid_Price1")</f>
        <v>0.41240000000000004</v>
      </c>
      <c r="F112" s="2">
        <f>RTD("wdf.rtq",,A112,"Ask_Price1")</f>
        <v>0.43180000000000002</v>
      </c>
      <c r="G112" s="2">
        <f>RTD("wdf.rtq",,A112,"Change")</f>
        <v>-9.3100000000000002E-2</v>
      </c>
      <c r="H112" s="2">
        <f>RTD("wdf.rtq",,A112,"PctChg")</f>
        <v>-17.900000000000002</v>
      </c>
      <c r="I112" s="2">
        <f>RTD("wdf.rtq",,A112,"Volume")</f>
        <v>228</v>
      </c>
      <c r="J112" s="2">
        <f>RTD("wdf.rtq",,A112, "rt_oi","RT_Price")</f>
        <v>2637</v>
      </c>
      <c r="K112" s="2">
        <f>RTD("wdf.rtq",,A112,"ImpliedVol")</f>
        <v>0.39690000000000003</v>
      </c>
      <c r="L112" s="2">
        <f>RTD("wdf.rtq",,A112, "rt_miv","RT_Price")</f>
        <v>0.3982</v>
      </c>
      <c r="M112" s="2">
        <f>RTD("wdf.rtq",,A112,"Delta")</f>
        <v>-0.57510000000000006</v>
      </c>
      <c r="N112" s="2">
        <f ca="1">RTD("wdf.rtq",,$A112,N$2)</f>
        <v>6.8500000000000005E-2</v>
      </c>
      <c r="O112" s="2">
        <f ca="1">RTD("wdf.rtq",,$A112,O$2)</f>
        <v>2.0000000000000001E-4</v>
      </c>
      <c r="P112" s="2">
        <f ca="1">RTD("wdf.rtq",,$A112,P$2)</f>
        <v>-3.0000000000000003E-4</v>
      </c>
      <c r="Q112" s="3">
        <f>[1]!w_info_ptmtradeday(A112,"")</f>
        <v>55</v>
      </c>
      <c r="R112" s="1" t="str">
        <f>[1]!w_info_callput(A112)</f>
        <v>认沽</v>
      </c>
      <c r="S112" s="7">
        <f>[1]!s_info_margin(A112)</f>
        <v>9525.4</v>
      </c>
    </row>
    <row r="113" spans="1:19" x14ac:dyDescent="0.25">
      <c r="A113" s="6" t="s">
        <v>128</v>
      </c>
      <c r="B113" s="9">
        <f>[1]!w_info_strikeprice(A113,"")</f>
        <v>4.3</v>
      </c>
      <c r="C113" s="2">
        <f>RTD("wdf.rtq",,A113,"LastPrice")</f>
        <v>0.4889</v>
      </c>
      <c r="D113" s="2">
        <f t="shared" si="1"/>
        <v>0.49020000000000002</v>
      </c>
      <c r="E113" s="2">
        <f>RTD("wdf.rtq",,A113,"Bid_Price1")</f>
        <v>0.48040000000000005</v>
      </c>
      <c r="F113" s="2">
        <f>RTD("wdf.rtq",,A113,"Ask_Price1")</f>
        <v>0.5</v>
      </c>
      <c r="G113" s="2">
        <f>RTD("wdf.rtq",,A113,"Change")</f>
        <v>-9.870000000000001E-2</v>
      </c>
      <c r="H113" s="2">
        <f>RTD("wdf.rtq",,A113,"PctChg")</f>
        <v>-16.8</v>
      </c>
      <c r="I113" s="2">
        <f>RTD("wdf.rtq",,A113,"Volume")</f>
        <v>176</v>
      </c>
      <c r="J113" s="2">
        <f>RTD("wdf.rtq",,A113, "rt_oi","RT_Price")</f>
        <v>3409</v>
      </c>
      <c r="K113" s="2">
        <f>RTD("wdf.rtq",,A113,"ImpliedVol")</f>
        <v>0.3947</v>
      </c>
      <c r="L113" s="2">
        <f>RTD("wdf.rtq",,A113, "rt_miv","RT_Price")</f>
        <v>0.40050000000000002</v>
      </c>
      <c r="M113" s="2">
        <f>RTD("wdf.rtq",,A113,"Delta")</f>
        <v>-0.62180000000000002</v>
      </c>
      <c r="N113" s="2">
        <f ca="1">RTD("wdf.rtq",,$A113,N$2)</f>
        <v>6.8500000000000005E-2</v>
      </c>
      <c r="O113" s="2">
        <f ca="1">RTD("wdf.rtq",,$A113,O$2)</f>
        <v>2.0000000000000001E-4</v>
      </c>
      <c r="P113" s="2">
        <f ca="1">RTD("wdf.rtq",,$A113,P$2)</f>
        <v>-3.0000000000000003E-4</v>
      </c>
      <c r="Q113" s="3">
        <f>[1]!w_info_ptmtradeday(A113,"")</f>
        <v>55</v>
      </c>
      <c r="R113" s="1" t="str">
        <f>[1]!w_info_callput(A113)</f>
        <v>认沽</v>
      </c>
      <c r="S113" s="7">
        <f>[1]!s_info_margin(A113)</f>
        <v>10168.4</v>
      </c>
    </row>
    <row r="114" spans="1:19" x14ac:dyDescent="0.25">
      <c r="A114" s="6" t="s">
        <v>129</v>
      </c>
      <c r="B114" s="9">
        <f>[1]!w_info_strikeprice(A114,"")</f>
        <v>4.4000000000000004</v>
      </c>
      <c r="C114" s="2">
        <f>RTD("wdf.rtq",,A114,"LastPrice")</f>
        <v>0.55320000000000003</v>
      </c>
      <c r="D114" s="2">
        <f t="shared" si="1"/>
        <v>0.56515000000000004</v>
      </c>
      <c r="E114" s="2">
        <f>RTD("wdf.rtq",,A114,"Bid_Price1")</f>
        <v>0.55320000000000003</v>
      </c>
      <c r="F114" s="2">
        <f>RTD("wdf.rtq",,A114,"Ask_Price1")</f>
        <v>0.57710000000000006</v>
      </c>
      <c r="G114" s="2">
        <f>RTD("wdf.rtq",,A114,"Change")</f>
        <v>-0.1145</v>
      </c>
      <c r="H114" s="2">
        <f>RTD("wdf.rtq",,A114,"PctChg")</f>
        <v>-17.150000000000002</v>
      </c>
      <c r="I114" s="2">
        <f>RTD("wdf.rtq",,A114,"Volume")</f>
        <v>42</v>
      </c>
      <c r="J114" s="2">
        <f>RTD("wdf.rtq",,A114, "rt_oi","RT_Price")</f>
        <v>1859</v>
      </c>
      <c r="K114" s="2">
        <f>RTD("wdf.rtq",,A114,"ImpliedVol")</f>
        <v>0.38920000000000005</v>
      </c>
      <c r="L114" s="2">
        <f>RTD("wdf.rtq",,A114, "rt_miv","RT_Price")</f>
        <v>0.40670000000000001</v>
      </c>
      <c r="M114" s="2">
        <f>RTD("wdf.rtq",,A114,"Delta")</f>
        <v>-0.66839999999999999</v>
      </c>
      <c r="N114" s="2">
        <f ca="1">RTD("wdf.rtq",,$A114,N$2)</f>
        <v>6.8500000000000005E-2</v>
      </c>
      <c r="O114" s="2">
        <f ca="1">RTD("wdf.rtq",,$A114,O$2)</f>
        <v>2.0000000000000001E-4</v>
      </c>
      <c r="P114" s="2">
        <f ca="1">RTD("wdf.rtq",,$A114,P$2)</f>
        <v>-3.0000000000000003E-4</v>
      </c>
      <c r="Q114" s="3">
        <f>[1]!w_info_ptmtradeday(A114,"")</f>
        <v>55</v>
      </c>
      <c r="R114" s="1" t="str">
        <f>[1]!w_info_callput(A114)</f>
        <v>认沽</v>
      </c>
      <c r="S114" s="7">
        <f>[1]!s_info_margin(A114)</f>
        <v>10913.4</v>
      </c>
    </row>
    <row r="115" spans="1:19" x14ac:dyDescent="0.25">
      <c r="A115" s="6" t="s">
        <v>130</v>
      </c>
      <c r="B115" s="9">
        <f>[1]!w_info_strikeprice(A115,"")</f>
        <v>4.5</v>
      </c>
      <c r="C115" s="2">
        <f>RTD("wdf.rtq",,A115,"LastPrice")</f>
        <v>0.63770000000000004</v>
      </c>
      <c r="D115" s="2">
        <f t="shared" si="1"/>
        <v>0.64475000000000005</v>
      </c>
      <c r="E115" s="2">
        <f>RTD("wdf.rtq",,A115,"Bid_Price1")</f>
        <v>0.63330000000000009</v>
      </c>
      <c r="F115" s="2">
        <f>RTD("wdf.rtq",,A115,"Ask_Price1")</f>
        <v>0.65620000000000001</v>
      </c>
      <c r="G115" s="2">
        <f>RTD("wdf.rtq",,A115,"Change")</f>
        <v>-0.12909999999999999</v>
      </c>
      <c r="H115" s="2">
        <f>RTD("wdf.rtq",,A115,"PctChg")</f>
        <v>-16.840000000000003</v>
      </c>
      <c r="I115" s="2">
        <f>RTD("wdf.rtq",,A115,"Volume")</f>
        <v>45</v>
      </c>
      <c r="J115" s="2">
        <f>RTD("wdf.rtq",,A115, "rt_oi","RT_Price")</f>
        <v>877</v>
      </c>
      <c r="K115" s="2">
        <f>RTD("wdf.rtq",,A115,"ImpliedVol")</f>
        <v>0.40840000000000004</v>
      </c>
      <c r="L115" s="2">
        <f>RTD("wdf.rtq",,A115, "rt_miv","RT_Price")</f>
        <v>0.41450000000000004</v>
      </c>
      <c r="M115" s="2">
        <f>RTD("wdf.rtq",,A115,"Delta")</f>
        <v>-0.69720000000000004</v>
      </c>
      <c r="N115" s="2">
        <f ca="1">RTD("wdf.rtq",,$A115,N$2)</f>
        <v>6.8500000000000005E-2</v>
      </c>
      <c r="O115" s="2">
        <f ca="1">RTD("wdf.rtq",,$A115,O$2)</f>
        <v>2.0000000000000001E-4</v>
      </c>
      <c r="P115" s="2">
        <f ca="1">RTD("wdf.rtq",,$A115,P$2)</f>
        <v>-3.0000000000000003E-4</v>
      </c>
      <c r="Q115" s="3">
        <f>[1]!w_info_ptmtradeday(A115,"")</f>
        <v>55</v>
      </c>
      <c r="R115" s="1" t="str">
        <f>[1]!w_info_callput(A115)</f>
        <v>认沽</v>
      </c>
      <c r="S115" s="7">
        <f>[1]!s_info_margin(A115)</f>
        <v>11855.4</v>
      </c>
    </row>
    <row r="116" spans="1:19" x14ac:dyDescent="0.25">
      <c r="A116" s="6" t="s">
        <v>131</v>
      </c>
      <c r="B116" s="9">
        <f>[1]!w_info_strikeprice(A116,"")</f>
        <v>4.5999999999999996</v>
      </c>
      <c r="C116" s="2">
        <f>RTD("wdf.rtq",,A116,"LastPrice")</f>
        <v>0.72000000000000008</v>
      </c>
      <c r="D116" s="2">
        <f t="shared" si="1"/>
        <v>0.72419999999999995</v>
      </c>
      <c r="E116" s="2">
        <f>RTD("wdf.rtq",,A116,"Bid_Price1")</f>
        <v>0.71060000000000001</v>
      </c>
      <c r="F116" s="2">
        <f>RTD("wdf.rtq",,A116,"Ask_Price1")</f>
        <v>0.73780000000000001</v>
      </c>
      <c r="G116" s="2">
        <f>RTD("wdf.rtq",,A116,"Change")</f>
        <v>-0.12560000000000002</v>
      </c>
      <c r="H116" s="2">
        <f>RTD("wdf.rtq",,A116,"PctChg")</f>
        <v>-14.850000000000001</v>
      </c>
      <c r="I116" s="2">
        <f>RTD("wdf.rtq",,A116,"Volume")</f>
        <v>23</v>
      </c>
      <c r="J116" s="2">
        <f>RTD("wdf.rtq",,A116, "rt_oi","RT_Price")</f>
        <v>475</v>
      </c>
      <c r="K116" s="2">
        <f>RTD("wdf.rtq",,A116,"ImpliedVol")</f>
        <v>0.40840000000000004</v>
      </c>
      <c r="L116" s="2">
        <f>RTD("wdf.rtq",,A116, "rt_miv","RT_Price")</f>
        <v>0.41739999999999999</v>
      </c>
      <c r="M116" s="2">
        <f>RTD("wdf.rtq",,A116,"Delta")</f>
        <v>-0.7379</v>
      </c>
      <c r="N116" s="2">
        <f ca="1">RTD("wdf.rtq",,$A116,N$2)</f>
        <v>6.8500000000000005E-2</v>
      </c>
      <c r="O116" s="2">
        <f ca="1">RTD("wdf.rtq",,$A116,O$2)</f>
        <v>2.0000000000000001E-4</v>
      </c>
      <c r="P116" s="2">
        <f ca="1">RTD("wdf.rtq",,$A116,P$2)</f>
        <v>-3.0000000000000003E-4</v>
      </c>
      <c r="Q116" s="3">
        <f>[1]!w_info_ptmtradeday(A116,"")</f>
        <v>55</v>
      </c>
      <c r="R116" s="1" t="str">
        <f>[1]!w_info_callput(A116)</f>
        <v>认沽</v>
      </c>
      <c r="S116" s="7">
        <f>[1]!s_info_margin(A116)</f>
        <v>12697.4</v>
      </c>
    </row>
    <row r="117" spans="1:19" x14ac:dyDescent="0.25">
      <c r="A117" s="6" t="s">
        <v>132</v>
      </c>
      <c r="B117" s="9">
        <f>[1]!w_info_strikeprice(A117,"")</f>
        <v>4.7</v>
      </c>
      <c r="C117" s="2">
        <f>RTD("wdf.rtq",,A117,"LastPrice")</f>
        <v>0.88880000000000003</v>
      </c>
      <c r="D117" s="2">
        <f t="shared" si="1"/>
        <v>0.80800000000000005</v>
      </c>
      <c r="E117" s="2">
        <f>RTD("wdf.rtq",,A117,"Bid_Price1")</f>
        <v>0.79360000000000008</v>
      </c>
      <c r="F117" s="2">
        <f>RTD("wdf.rtq",,A117,"Ask_Price1")</f>
        <v>0.82240000000000002</v>
      </c>
      <c r="G117" s="2">
        <f>RTD("wdf.rtq",,A117,"Change")</f>
        <v>-4.5499999999999999E-2</v>
      </c>
      <c r="H117" s="2">
        <f>RTD("wdf.rtq",,A117,"PctChg")</f>
        <v>-4.87</v>
      </c>
      <c r="I117" s="2">
        <f>RTD("wdf.rtq",,A117,"Volume")</f>
        <v>4</v>
      </c>
      <c r="J117" s="2">
        <f>RTD("wdf.rtq",,A117, "rt_oi","RT_Price")</f>
        <v>130</v>
      </c>
      <c r="K117" s="2">
        <f>RTD("wdf.rtq",,A117,"ImpliedVol")</f>
        <v>0.39700000000000002</v>
      </c>
      <c r="L117" s="2">
        <f>RTD("wdf.rtq",,A117, "rt_miv","RT_Price")</f>
        <v>0.42270000000000002</v>
      </c>
      <c r="M117" s="2">
        <f>RTD("wdf.rtq",,A117,"Delta")</f>
        <v>-0.82300000000000006</v>
      </c>
      <c r="N117" s="2">
        <f ca="1">RTD("wdf.rtq",,$A117,N$2)</f>
        <v>6.8500000000000005E-2</v>
      </c>
      <c r="O117" s="2">
        <f ca="1">RTD("wdf.rtq",,$A117,O$2)</f>
        <v>2.0000000000000001E-4</v>
      </c>
      <c r="P117" s="2">
        <f ca="1">RTD("wdf.rtq",,$A117,P$2)</f>
        <v>-3.0000000000000003E-4</v>
      </c>
      <c r="Q117" s="3">
        <f>[1]!w_info_ptmtradeday(A117,"")</f>
        <v>55</v>
      </c>
      <c r="R117" s="1" t="str">
        <f>[1]!w_info_callput(A117)</f>
        <v>认沽</v>
      </c>
      <c r="S117" s="7">
        <f>[1]!s_info_margin(A117)</f>
        <v>13570.4</v>
      </c>
    </row>
    <row r="118" spans="1:19" x14ac:dyDescent="0.25">
      <c r="A118" s="6" t="s">
        <v>133</v>
      </c>
      <c r="B118" s="9">
        <f>[1]!w_info_strikeprice(A118,"")</f>
        <v>4.8</v>
      </c>
      <c r="C118" s="2">
        <f>RTD("wdf.rtq",,A118,"LastPrice")</f>
        <v>0.91190000000000004</v>
      </c>
      <c r="D118" s="2">
        <f t="shared" si="1"/>
        <v>0.89470000000000005</v>
      </c>
      <c r="E118" s="2">
        <f>RTD("wdf.rtq",,A118,"Bid_Price1")</f>
        <v>0.87960000000000005</v>
      </c>
      <c r="F118" s="2">
        <f>RTD("wdf.rtq",,A118,"Ask_Price1")</f>
        <v>0.90980000000000005</v>
      </c>
      <c r="G118" s="2">
        <f>RTD("wdf.rtq",,A118,"Change")</f>
        <v>-0.11380000000000001</v>
      </c>
      <c r="H118" s="2">
        <f>RTD("wdf.rtq",,A118,"PctChg")</f>
        <v>-11.09</v>
      </c>
      <c r="I118" s="2">
        <f>RTD("wdf.rtq",,A118,"Volume")</f>
        <v>184</v>
      </c>
      <c r="J118" s="2">
        <f>RTD("wdf.rtq",,A118, "rt_oi","RT_Price")</f>
        <v>371</v>
      </c>
      <c r="K118" s="2">
        <f>RTD("wdf.rtq",,A118,"ImpliedVol")</f>
        <v>0.41789999999999999</v>
      </c>
      <c r="L118" s="2">
        <f>RTD("wdf.rtq",,A118, "rt_miv","RT_Price")</f>
        <v>0.42920000000000003</v>
      </c>
      <c r="M118" s="2">
        <f>RTD("wdf.rtq",,A118,"Delta")</f>
        <v>-0.80649999999999999</v>
      </c>
      <c r="N118" s="2">
        <f ca="1">RTD("wdf.rtq",,$A118,N$2)</f>
        <v>6.8500000000000005E-2</v>
      </c>
      <c r="O118" s="2">
        <f ca="1">RTD("wdf.rtq",,$A118,O$2)</f>
        <v>2.0000000000000001E-4</v>
      </c>
      <c r="P118" s="2">
        <f ca="1">RTD("wdf.rtq",,$A118,P$2)</f>
        <v>-3.0000000000000003E-4</v>
      </c>
      <c r="Q118" s="3">
        <f>[1]!w_info_ptmtradeday(A118,"")</f>
        <v>55</v>
      </c>
      <c r="R118" s="1" t="str">
        <f>[1]!w_info_callput(A118)</f>
        <v>认沽</v>
      </c>
      <c r="S118" s="7">
        <f>[1]!s_info_margin(A118)</f>
        <v>14470.4</v>
      </c>
    </row>
    <row r="119" spans="1:19" x14ac:dyDescent="0.25">
      <c r="A119" s="6" t="s">
        <v>134</v>
      </c>
      <c r="B119" s="9">
        <f>[1]!w_info_strikeprice(A119,"")</f>
        <v>3.2</v>
      </c>
      <c r="C119" s="2">
        <f>RTD("wdf.rtq",,A119,"LastPrice")</f>
        <v>0.13930000000000001</v>
      </c>
      <c r="D119" s="2">
        <f t="shared" si="1"/>
        <v>0.13774999999999998</v>
      </c>
      <c r="E119" s="2">
        <f>RTD("wdf.rtq",,A119,"Bid_Price1")</f>
        <v>0.1361</v>
      </c>
      <c r="F119" s="2">
        <f>RTD("wdf.rtq",,A119,"Ask_Price1")</f>
        <v>0.1394</v>
      </c>
      <c r="G119" s="2">
        <f>RTD("wdf.rtq",,A119,"Change")</f>
        <v>-1.9700000000000002E-2</v>
      </c>
      <c r="H119" s="2">
        <f>RTD("wdf.rtq",,A119,"PctChg")</f>
        <v>-12.39</v>
      </c>
      <c r="I119" s="2">
        <f>RTD("wdf.rtq",,A119,"Volume")</f>
        <v>3199</v>
      </c>
      <c r="J119" s="2">
        <f>RTD("wdf.rtq",,A119, "rt_oi","RT_Price")</f>
        <v>10280</v>
      </c>
      <c r="K119" s="2">
        <f>RTD("wdf.rtq",,A119,"ImpliedVol")</f>
        <v>0.41750000000000004</v>
      </c>
      <c r="L119" s="2">
        <f>RTD("wdf.rtq",,A119, "rt_miv","RT_Price")</f>
        <v>0.41570000000000001</v>
      </c>
      <c r="M119" s="2">
        <f>RTD("wdf.rtq",,A119,"Delta")</f>
        <v>-0.19460000000000002</v>
      </c>
      <c r="N119" s="2">
        <f ca="1">RTD("wdf.rtq",,$A119,N$2)</f>
        <v>6.8500000000000005E-2</v>
      </c>
      <c r="O119" s="2">
        <f ca="1">RTD("wdf.rtq",,$A119,O$2)</f>
        <v>2.0000000000000001E-4</v>
      </c>
      <c r="P119" s="2">
        <f ca="1">RTD("wdf.rtq",,$A119,P$2)</f>
        <v>-3.0000000000000003E-4</v>
      </c>
      <c r="Q119" s="3">
        <f>[1]!w_info_ptmtradeday(A119,"")</f>
        <v>114</v>
      </c>
      <c r="R119" s="1" t="str">
        <f>[1]!w_info_callput(A119)</f>
        <v>认沽</v>
      </c>
      <c r="S119" s="7">
        <f>[1]!s_info_margin(A119)</f>
        <v>3724</v>
      </c>
    </row>
    <row r="120" spans="1:19" x14ac:dyDescent="0.25">
      <c r="A120" s="6" t="s">
        <v>135</v>
      </c>
      <c r="B120" s="9">
        <f>[1]!w_info_strikeprice(A120,"")</f>
        <v>3.3</v>
      </c>
      <c r="C120" s="2">
        <f>RTD("wdf.rtq",,A120,"LastPrice")</f>
        <v>0.16060000000000002</v>
      </c>
      <c r="D120" s="2">
        <f t="shared" si="1"/>
        <v>0.16175</v>
      </c>
      <c r="E120" s="2">
        <f>RTD("wdf.rtq",,A120,"Bid_Price1")</f>
        <v>0.16</v>
      </c>
      <c r="F120" s="2">
        <f>RTD("wdf.rtq",,A120,"Ask_Price1")</f>
        <v>0.16350000000000001</v>
      </c>
      <c r="G120" s="2">
        <f>RTD("wdf.rtq",,A120,"Change")</f>
        <v>-2.4800000000000003E-2</v>
      </c>
      <c r="H120" s="2">
        <f>RTD("wdf.rtq",,A120,"PctChg")</f>
        <v>-13.38</v>
      </c>
      <c r="I120" s="2">
        <f>RTD("wdf.rtq",,A120,"Volume")</f>
        <v>443</v>
      </c>
      <c r="J120" s="2">
        <f>RTD("wdf.rtq",,A120, "rt_oi","RT_Price")</f>
        <v>3872</v>
      </c>
      <c r="K120" s="2">
        <f>RTD("wdf.rtq",,A120,"ImpliedVol")</f>
        <v>0.40650000000000003</v>
      </c>
      <c r="L120" s="2">
        <f>RTD("wdf.rtq",,A120, "rt_miv","RT_Price")</f>
        <v>0.4083</v>
      </c>
      <c r="M120" s="2">
        <f>RTD("wdf.rtq",,A120,"Delta")</f>
        <v>-0.2218</v>
      </c>
      <c r="N120" s="2">
        <f ca="1">RTD("wdf.rtq",,$A120,N$2)</f>
        <v>6.8500000000000005E-2</v>
      </c>
      <c r="O120" s="2">
        <f ca="1">RTD("wdf.rtq",,$A120,O$2)</f>
        <v>2.0000000000000001E-4</v>
      </c>
      <c r="P120" s="2">
        <f ca="1">RTD("wdf.rtq",,$A120,P$2)</f>
        <v>-3.0000000000000003E-4</v>
      </c>
      <c r="Q120" s="3">
        <f>[1]!w_info_ptmtradeday(A120,"")</f>
        <v>114</v>
      </c>
      <c r="R120" s="1" t="str">
        <f>[1]!w_info_callput(A120)</f>
        <v>认沽</v>
      </c>
      <c r="S120" s="7">
        <f>[1]!s_info_margin(A120)</f>
        <v>4086</v>
      </c>
    </row>
    <row r="121" spans="1:19" x14ac:dyDescent="0.25">
      <c r="A121" s="6" t="s">
        <v>136</v>
      </c>
      <c r="B121" s="9">
        <f>[1]!w_info_strikeprice(A121,"")</f>
        <v>3.4</v>
      </c>
      <c r="C121" s="2">
        <f>RTD("wdf.rtq",,A121,"LastPrice")</f>
        <v>0.1895</v>
      </c>
      <c r="D121" s="2">
        <f t="shared" si="1"/>
        <v>0.18925</v>
      </c>
      <c r="E121" s="2">
        <f>RTD("wdf.rtq",,A121,"Bid_Price1")</f>
        <v>0.189</v>
      </c>
      <c r="F121" s="2">
        <f>RTD("wdf.rtq",,A121,"Ask_Price1")</f>
        <v>0.1895</v>
      </c>
      <c r="G121" s="2">
        <f>RTD("wdf.rtq",,A121,"Change")</f>
        <v>-3.5500000000000004E-2</v>
      </c>
      <c r="H121" s="2">
        <f>RTD("wdf.rtq",,A121,"PctChg")</f>
        <v>-15.78</v>
      </c>
      <c r="I121" s="2">
        <f>RTD("wdf.rtq",,A121,"Volume")</f>
        <v>311</v>
      </c>
      <c r="J121" s="2">
        <f>RTD("wdf.rtq",,A121, "rt_oi","RT_Price")</f>
        <v>2077</v>
      </c>
      <c r="K121" s="2">
        <f>RTD("wdf.rtq",,A121,"ImpliedVol")</f>
        <v>0.4027</v>
      </c>
      <c r="L121" s="2">
        <f>RTD("wdf.rtq",,A121, "rt_miv","RT_Price")</f>
        <v>0.40160000000000001</v>
      </c>
      <c r="M121" s="2">
        <f>RTD("wdf.rtq",,A121,"Delta")</f>
        <v>-0.25259999999999999</v>
      </c>
      <c r="N121" s="2">
        <f ca="1">RTD("wdf.rtq",,$A121,N$2)</f>
        <v>6.8500000000000005E-2</v>
      </c>
      <c r="O121" s="2">
        <f ca="1">RTD("wdf.rtq",,$A121,O$2)</f>
        <v>2.0000000000000001E-4</v>
      </c>
      <c r="P121" s="2">
        <f ca="1">RTD("wdf.rtq",,$A121,P$2)</f>
        <v>-3.0000000000000003E-4</v>
      </c>
      <c r="Q121" s="3">
        <f>[1]!w_info_ptmtradeday(A121,"")</f>
        <v>114</v>
      </c>
      <c r="R121" s="1" t="str">
        <f>[1]!w_info_callput(A121)</f>
        <v>认沽</v>
      </c>
      <c r="S121" s="7">
        <f>[1]!s_info_margin(A121)</f>
        <v>4484</v>
      </c>
    </row>
    <row r="122" spans="1:19" x14ac:dyDescent="0.25">
      <c r="A122" s="6" t="s">
        <v>137</v>
      </c>
      <c r="B122" s="9">
        <f>[1]!w_info_strikeprice(A122,"")</f>
        <v>3.5</v>
      </c>
      <c r="C122" s="2">
        <f>RTD("wdf.rtq",,A122,"LastPrice")</f>
        <v>0.2268</v>
      </c>
      <c r="D122" s="2">
        <f t="shared" si="1"/>
        <v>0.22689999999999999</v>
      </c>
      <c r="E122" s="2">
        <f>RTD("wdf.rtq",,A122,"Bid_Price1")</f>
        <v>0.22170000000000001</v>
      </c>
      <c r="F122" s="2">
        <f>RTD("wdf.rtq",,A122,"Ask_Price1")</f>
        <v>0.2321</v>
      </c>
      <c r="G122" s="2">
        <f>RTD("wdf.rtq",,A122,"Change")</f>
        <v>-3.7200000000000004E-2</v>
      </c>
      <c r="H122" s="2">
        <f>RTD("wdf.rtq",,A122,"PctChg")</f>
        <v>-14.09</v>
      </c>
      <c r="I122" s="2">
        <f>RTD("wdf.rtq",,A122,"Volume")</f>
        <v>292</v>
      </c>
      <c r="J122" s="2">
        <f>RTD("wdf.rtq",,A122, "rt_oi","RT_Price")</f>
        <v>2009</v>
      </c>
      <c r="K122" s="2">
        <f>RTD("wdf.rtq",,A122,"ImpliedVol")</f>
        <v>0.40030000000000004</v>
      </c>
      <c r="L122" s="2">
        <f>RTD("wdf.rtq",,A122, "rt_miv","RT_Price")</f>
        <v>0.40260000000000001</v>
      </c>
      <c r="M122" s="2">
        <f>RTD("wdf.rtq",,A122,"Delta")</f>
        <v>-0.2898</v>
      </c>
      <c r="N122" s="2">
        <f ca="1">RTD("wdf.rtq",,$A122,N$2)</f>
        <v>6.8500000000000005E-2</v>
      </c>
      <c r="O122" s="2">
        <f ca="1">RTD("wdf.rtq",,$A122,O$2)</f>
        <v>2.0000000000000001E-4</v>
      </c>
      <c r="P122" s="2">
        <f ca="1">RTD("wdf.rtq",,$A122,P$2)</f>
        <v>-3.0000000000000003E-4</v>
      </c>
      <c r="Q122" s="3">
        <f>[1]!w_info_ptmtradeday(A122,"")</f>
        <v>114</v>
      </c>
      <c r="R122" s="1" t="str">
        <f>[1]!w_info_callput(A122)</f>
        <v>认沽</v>
      </c>
      <c r="S122" s="7">
        <f>[1]!s_info_margin(A122)</f>
        <v>4932</v>
      </c>
    </row>
    <row r="123" spans="1:19" x14ac:dyDescent="0.25">
      <c r="A123" s="6" t="s">
        <v>138</v>
      </c>
      <c r="B123" s="9">
        <f>[1]!w_info_strikeprice(A123,"")</f>
        <v>3.6</v>
      </c>
      <c r="C123" s="2">
        <f>RTD("wdf.rtq",,A123,"LastPrice")</f>
        <v>0.26100000000000001</v>
      </c>
      <c r="D123" s="2">
        <f t="shared" si="1"/>
        <v>0.26505000000000001</v>
      </c>
      <c r="E123" s="2">
        <f>RTD("wdf.rtq",,A123,"Bid_Price1")</f>
        <v>0.26</v>
      </c>
      <c r="F123" s="2">
        <f>RTD("wdf.rtq",,A123,"Ask_Price1")</f>
        <v>0.27010000000000001</v>
      </c>
      <c r="G123" s="2">
        <f>RTD("wdf.rtq",,A123,"Change")</f>
        <v>-4.6600000000000003E-2</v>
      </c>
      <c r="H123" s="2">
        <f>RTD("wdf.rtq",,A123,"PctChg")</f>
        <v>-15.15</v>
      </c>
      <c r="I123" s="2">
        <f>RTD("wdf.rtq",,A123,"Volume")</f>
        <v>593</v>
      </c>
      <c r="J123" s="2">
        <f>RTD("wdf.rtq",,A123, "rt_oi","RT_Price")</f>
        <v>2411</v>
      </c>
      <c r="K123" s="2">
        <f>RTD("wdf.rtq",,A123,"ImpliedVol")</f>
        <v>0.39680000000000004</v>
      </c>
      <c r="L123" s="2">
        <f>RTD("wdf.rtq",,A123, "rt_miv","RT_Price")</f>
        <v>0.39980000000000004</v>
      </c>
      <c r="M123" s="2">
        <f>RTD("wdf.rtq",,A123,"Delta")</f>
        <v>-0.32130000000000003</v>
      </c>
      <c r="N123" s="2">
        <f ca="1">RTD("wdf.rtq",,$A123,N$2)</f>
        <v>6.8500000000000005E-2</v>
      </c>
      <c r="O123" s="2">
        <f ca="1">RTD("wdf.rtq",,$A123,O$2)</f>
        <v>2.0000000000000001E-4</v>
      </c>
      <c r="P123" s="2">
        <f ca="1">RTD("wdf.rtq",,$A123,P$2)</f>
        <v>-3.0000000000000003E-4</v>
      </c>
      <c r="Q123" s="3">
        <f>[1]!w_info_ptmtradeday(A123,"")</f>
        <v>114</v>
      </c>
      <c r="R123" s="1" t="str">
        <f>[1]!w_info_callput(A123)</f>
        <v>认沽</v>
      </c>
      <c r="S123" s="7">
        <f>[1]!s_info_margin(A123)</f>
        <v>5427</v>
      </c>
    </row>
    <row r="124" spans="1:19" x14ac:dyDescent="0.25">
      <c r="A124" s="6" t="s">
        <v>139</v>
      </c>
      <c r="B124" s="9">
        <f>[1]!w_info_strikeprice(A124,"")</f>
        <v>3.7</v>
      </c>
      <c r="C124" s="2">
        <f>RTD("wdf.rtq",,A124,"LastPrice")</f>
        <v>0.30510000000000004</v>
      </c>
      <c r="D124" s="2">
        <f t="shared" si="1"/>
        <v>0.30874999999999997</v>
      </c>
      <c r="E124" s="2">
        <f>RTD("wdf.rtq",,A124,"Bid_Price1")</f>
        <v>0.30499999999999999</v>
      </c>
      <c r="F124" s="2">
        <f>RTD("wdf.rtq",,A124,"Ask_Price1")</f>
        <v>0.3125</v>
      </c>
      <c r="G124" s="2">
        <f>RTD("wdf.rtq",,A124,"Change")</f>
        <v>-5.1200000000000002E-2</v>
      </c>
      <c r="H124" s="2">
        <f>RTD("wdf.rtq",,A124,"PctChg")</f>
        <v>-14.37</v>
      </c>
      <c r="I124" s="2">
        <f>RTD("wdf.rtq",,A124,"Volume")</f>
        <v>830</v>
      </c>
      <c r="J124" s="2">
        <f>RTD("wdf.rtq",,A124, "rt_oi","RT_Price")</f>
        <v>2412</v>
      </c>
      <c r="K124" s="2">
        <f>RTD("wdf.rtq",,A124,"ImpliedVol")</f>
        <v>0.39119999999999999</v>
      </c>
      <c r="L124" s="2">
        <f>RTD("wdf.rtq",,A124, "rt_miv","RT_Price")</f>
        <v>0.39890000000000003</v>
      </c>
      <c r="M124" s="2">
        <f>RTD("wdf.rtq",,A124,"Delta")</f>
        <v>-0.3634</v>
      </c>
      <c r="N124" s="2">
        <f ca="1">RTD("wdf.rtq",,$A124,N$2)</f>
        <v>6.8500000000000005E-2</v>
      </c>
      <c r="O124" s="2">
        <f ca="1">RTD("wdf.rtq",,$A124,O$2)</f>
        <v>2.0000000000000001E-4</v>
      </c>
      <c r="P124" s="2">
        <f ca="1">RTD("wdf.rtq",,$A124,P$2)</f>
        <v>-3.0000000000000003E-4</v>
      </c>
      <c r="Q124" s="3">
        <f>[1]!w_info_ptmtradeday(A124,"")</f>
        <v>114</v>
      </c>
      <c r="R124" s="1" t="str">
        <f>[1]!w_info_callput(A124)</f>
        <v>认沽</v>
      </c>
      <c r="S124" s="7">
        <f>[1]!s_info_margin(A124)</f>
        <v>5933</v>
      </c>
    </row>
    <row r="125" spans="1:19" x14ac:dyDescent="0.25">
      <c r="A125" s="6" t="s">
        <v>140</v>
      </c>
      <c r="B125" s="9">
        <f>[1]!w_info_strikeprice(A125,"")</f>
        <v>3.8</v>
      </c>
      <c r="C125" s="2">
        <f>RTD("wdf.rtq",,A125,"LastPrice")</f>
        <v>0.35520000000000002</v>
      </c>
      <c r="D125" s="2">
        <f t="shared" si="1"/>
        <v>0.35050000000000003</v>
      </c>
      <c r="E125" s="2">
        <f>RTD("wdf.rtq",,A125,"Bid_Price1")</f>
        <v>0.34490000000000004</v>
      </c>
      <c r="F125" s="2">
        <f>RTD("wdf.rtq",,A125,"Ask_Price1")</f>
        <v>0.35610000000000003</v>
      </c>
      <c r="G125" s="2">
        <f>RTD("wdf.rtq",,A125,"Change")</f>
        <v>-5.57E-2</v>
      </c>
      <c r="H125" s="2">
        <f>RTD("wdf.rtq",,A125,"PctChg")</f>
        <v>-13.56</v>
      </c>
      <c r="I125" s="2">
        <f>RTD("wdf.rtq",,A125,"Volume")</f>
        <v>866</v>
      </c>
      <c r="J125" s="2">
        <f>RTD("wdf.rtq",,A125, "rt_oi","RT_Price")</f>
        <v>1832</v>
      </c>
      <c r="K125" s="2">
        <f>RTD("wdf.rtq",,A125,"ImpliedVol")</f>
        <v>0.39430000000000004</v>
      </c>
      <c r="L125" s="2">
        <f>RTD("wdf.rtq",,A125, "rt_miv","RT_Price")</f>
        <v>0.39240000000000003</v>
      </c>
      <c r="M125" s="2">
        <f>RTD("wdf.rtq",,A125,"Delta")</f>
        <v>-0.39980000000000004</v>
      </c>
      <c r="N125" s="2">
        <f ca="1">RTD("wdf.rtq",,$A125,N$2)</f>
        <v>6.8500000000000005E-2</v>
      </c>
      <c r="O125" s="2">
        <f ca="1">RTD("wdf.rtq",,$A125,O$2)</f>
        <v>2.0000000000000001E-4</v>
      </c>
      <c r="P125" s="2">
        <f ca="1">RTD("wdf.rtq",,$A125,P$2)</f>
        <v>-3.0000000000000003E-4</v>
      </c>
      <c r="Q125" s="3">
        <f>[1]!w_info_ptmtradeday(A125,"")</f>
        <v>114</v>
      </c>
      <c r="R125" s="1" t="str">
        <f>[1]!w_info_callput(A125)</f>
        <v>认沽</v>
      </c>
      <c r="S125" s="7">
        <f>[1]!s_info_margin(A125)</f>
        <v>7315.4</v>
      </c>
    </row>
    <row r="126" spans="1:19" x14ac:dyDescent="0.25">
      <c r="A126" s="6" t="s">
        <v>141</v>
      </c>
      <c r="B126" s="9">
        <f>[1]!w_info_strikeprice(A126,"")</f>
        <v>3.9</v>
      </c>
      <c r="C126" s="2">
        <f>RTD("wdf.rtq",,A126,"LastPrice")</f>
        <v>0.40350000000000003</v>
      </c>
      <c r="D126" s="2">
        <f t="shared" si="1"/>
        <v>0.40245000000000003</v>
      </c>
      <c r="E126" s="2">
        <f>RTD("wdf.rtq",,A126,"Bid_Price1")</f>
        <v>0.39500000000000002</v>
      </c>
      <c r="F126" s="2">
        <f>RTD("wdf.rtq",,A126,"Ask_Price1")</f>
        <v>0.40990000000000004</v>
      </c>
      <c r="G126" s="2">
        <f>RTD("wdf.rtq",,A126,"Change")</f>
        <v>-6.6700000000000009E-2</v>
      </c>
      <c r="H126" s="2">
        <f>RTD("wdf.rtq",,A126,"PctChg")</f>
        <v>-14.19</v>
      </c>
      <c r="I126" s="2">
        <f>RTD("wdf.rtq",,A126,"Volume")</f>
        <v>634</v>
      </c>
      <c r="J126" s="2">
        <f>RTD("wdf.rtq",,A126, "rt_oi","RT_Price")</f>
        <v>1701</v>
      </c>
      <c r="K126" s="2">
        <f>RTD("wdf.rtq",,A126,"ImpliedVol")</f>
        <v>0.39350000000000002</v>
      </c>
      <c r="L126" s="2">
        <f>RTD("wdf.rtq",,A126, "rt_miv","RT_Price")</f>
        <v>0.39219999999999999</v>
      </c>
      <c r="M126" s="2">
        <f>RTD("wdf.rtq",,A126,"Delta")</f>
        <v>-0.435</v>
      </c>
      <c r="N126" s="2">
        <f ca="1">RTD("wdf.rtq",,$A126,N$2)</f>
        <v>6.8500000000000005E-2</v>
      </c>
      <c r="O126" s="2">
        <f ca="1">RTD("wdf.rtq",,$A126,O$2)</f>
        <v>2.0000000000000001E-4</v>
      </c>
      <c r="P126" s="2">
        <f ca="1">RTD("wdf.rtq",,$A126,P$2)</f>
        <v>-3.0000000000000003E-4</v>
      </c>
      <c r="Q126" s="3">
        <f>[1]!w_info_ptmtradeday(A126,"")</f>
        <v>114</v>
      </c>
      <c r="R126" s="1" t="str">
        <f>[1]!w_info_callput(A126)</f>
        <v>认沽</v>
      </c>
      <c r="S126" s="7">
        <f>[1]!s_info_margin(A126)</f>
        <v>8824.4</v>
      </c>
    </row>
    <row r="127" spans="1:19" x14ac:dyDescent="0.25">
      <c r="A127" s="6" t="s">
        <v>142</v>
      </c>
      <c r="B127" s="9">
        <f>[1]!w_info_strikeprice(A127,"")</f>
        <v>4</v>
      </c>
      <c r="C127" s="2">
        <f>RTD("wdf.rtq",,A127,"LastPrice")</f>
        <v>0.45710000000000001</v>
      </c>
      <c r="D127" s="2">
        <f t="shared" si="1"/>
        <v>0.45600000000000002</v>
      </c>
      <c r="E127" s="2">
        <f>RTD("wdf.rtq",,A127,"Bid_Price1")</f>
        <v>0.45</v>
      </c>
      <c r="F127" s="2">
        <f>RTD("wdf.rtq",,A127,"Ask_Price1")</f>
        <v>0.46200000000000002</v>
      </c>
      <c r="G127" s="2">
        <f>RTD("wdf.rtq",,A127,"Change")</f>
        <v>-7.5200000000000003E-2</v>
      </c>
      <c r="H127" s="2">
        <f>RTD("wdf.rtq",,A127,"PctChg")</f>
        <v>-14.13</v>
      </c>
      <c r="I127" s="2">
        <f>RTD("wdf.rtq",,A127,"Volume")</f>
        <v>543</v>
      </c>
      <c r="J127" s="2">
        <f>RTD("wdf.rtq",,A127, "rt_oi","RT_Price")</f>
        <v>1086</v>
      </c>
      <c r="K127" s="2">
        <f>RTD("wdf.rtq",,A127,"ImpliedVol")</f>
        <v>0.39030000000000004</v>
      </c>
      <c r="L127" s="2">
        <f>RTD("wdf.rtq",,A127, "rt_miv","RT_Price")</f>
        <v>0.38990000000000002</v>
      </c>
      <c r="M127" s="2">
        <f>RTD("wdf.rtq",,A127,"Delta")</f>
        <v>-0.47310000000000002</v>
      </c>
      <c r="N127" s="2">
        <f ca="1">RTD("wdf.rtq",,$A127,N$2)</f>
        <v>6.8500000000000005E-2</v>
      </c>
      <c r="O127" s="2">
        <f ca="1">RTD("wdf.rtq",,$A127,O$2)</f>
        <v>2.0000000000000001E-4</v>
      </c>
      <c r="P127" s="2">
        <f ca="1">RTD("wdf.rtq",,$A127,P$2)</f>
        <v>-3.0000000000000003E-4</v>
      </c>
      <c r="Q127" s="3">
        <f>[1]!w_info_ptmtradeday(A127,"")</f>
        <v>114</v>
      </c>
      <c r="R127" s="1" t="str">
        <f>[1]!w_info_callput(A127)</f>
        <v>认沽</v>
      </c>
      <c r="S127" s="7">
        <f>[1]!s_info_margin(A127)</f>
        <v>9749.4</v>
      </c>
    </row>
    <row r="128" spans="1:19" x14ac:dyDescent="0.25">
      <c r="A128" s="6" t="s">
        <v>143</v>
      </c>
      <c r="B128" s="9">
        <f>[1]!w_info_strikeprice(A128,"")</f>
        <v>4.0999999999999996</v>
      </c>
      <c r="C128" s="2">
        <f>RTD("wdf.rtq",,A128,"LastPrice")</f>
        <v>0.51500000000000001</v>
      </c>
      <c r="D128" s="2">
        <f t="shared" si="1"/>
        <v>0.52</v>
      </c>
      <c r="E128" s="2">
        <f>RTD("wdf.rtq",,A128,"Bid_Price1")</f>
        <v>0.51500000000000001</v>
      </c>
      <c r="F128" s="2">
        <f>RTD("wdf.rtq",,A128,"Ask_Price1")</f>
        <v>0.52500000000000002</v>
      </c>
      <c r="G128" s="2">
        <f>RTD("wdf.rtq",,A128,"Change")</f>
        <v>-8.3600000000000008E-2</v>
      </c>
      <c r="H128" s="2">
        <f>RTD("wdf.rtq",,A128,"PctChg")</f>
        <v>-13.970000000000002</v>
      </c>
      <c r="I128" s="2">
        <f>RTD("wdf.rtq",,A128,"Volume")</f>
        <v>142</v>
      </c>
      <c r="J128" s="2">
        <f>RTD("wdf.rtq",,A128, "rt_oi","RT_Price")</f>
        <v>945</v>
      </c>
      <c r="K128" s="2">
        <f>RTD("wdf.rtq",,A128,"ImpliedVol")</f>
        <v>0.39050000000000001</v>
      </c>
      <c r="L128" s="2">
        <f>RTD("wdf.rtq",,A128, "rt_miv","RT_Price")</f>
        <v>0.39400000000000002</v>
      </c>
      <c r="M128" s="2">
        <f>RTD("wdf.rtq",,A128,"Delta")</f>
        <v>-0.50819999999999999</v>
      </c>
      <c r="N128" s="2">
        <f ca="1">RTD("wdf.rtq",,$A128,N$2)</f>
        <v>6.8500000000000005E-2</v>
      </c>
      <c r="O128" s="2">
        <f ca="1">RTD("wdf.rtq",,$A128,O$2)</f>
        <v>2.0000000000000001E-4</v>
      </c>
      <c r="P128" s="2">
        <f ca="1">RTD("wdf.rtq",,$A128,P$2)</f>
        <v>-3.0000000000000003E-4</v>
      </c>
      <c r="Q128" s="3">
        <f>[1]!w_info_ptmtradeday(A128,"")</f>
        <v>114</v>
      </c>
      <c r="R128" s="1" t="str">
        <f>[1]!w_info_callput(A128)</f>
        <v>认沽</v>
      </c>
      <c r="S128" s="7">
        <f>[1]!s_info_margin(A128)</f>
        <v>10382.4</v>
      </c>
    </row>
    <row r="129" spans="1:19" x14ac:dyDescent="0.25">
      <c r="A129" s="6" t="s">
        <v>144</v>
      </c>
      <c r="B129" s="9">
        <f>[1]!w_info_strikeprice(A129,"")</f>
        <v>4.2</v>
      </c>
      <c r="C129" s="2">
        <f>RTD("wdf.rtq",,A129,"LastPrice")</f>
        <v>0.57700000000000007</v>
      </c>
      <c r="D129" s="2">
        <f t="shared" si="1"/>
        <v>0.58140000000000003</v>
      </c>
      <c r="E129" s="2">
        <f>RTD("wdf.rtq",,A129,"Bid_Price1")</f>
        <v>0.56740000000000002</v>
      </c>
      <c r="F129" s="2">
        <f>RTD("wdf.rtq",,A129,"Ask_Price1")</f>
        <v>0.59540000000000004</v>
      </c>
      <c r="G129" s="2">
        <f>RTD("wdf.rtq",,A129,"Change")</f>
        <v>-8.9099999999999999E-2</v>
      </c>
      <c r="H129" s="2">
        <f>RTD("wdf.rtq",,A129,"PctChg")</f>
        <v>-13.38</v>
      </c>
      <c r="I129" s="2">
        <f>RTD("wdf.rtq",,A129,"Volume")</f>
        <v>111</v>
      </c>
      <c r="J129" s="2">
        <f>RTD("wdf.rtq",,A129, "rt_oi","RT_Price")</f>
        <v>874</v>
      </c>
      <c r="K129" s="2">
        <f>RTD("wdf.rtq",,A129,"ImpliedVol")</f>
        <v>0.39090000000000003</v>
      </c>
      <c r="L129" s="2">
        <f>RTD("wdf.rtq",,A129, "rt_miv","RT_Price")</f>
        <v>0.39250000000000002</v>
      </c>
      <c r="M129" s="2">
        <f>RTD("wdf.rtq",,A129,"Delta")</f>
        <v>-0.54280000000000006</v>
      </c>
      <c r="N129" s="2">
        <f ca="1">RTD("wdf.rtq",,$A129,N$2)</f>
        <v>6.8500000000000005E-2</v>
      </c>
      <c r="O129" s="2">
        <f ca="1">RTD("wdf.rtq",,$A129,O$2)</f>
        <v>2.0000000000000001E-4</v>
      </c>
      <c r="P129" s="2">
        <f ca="1">RTD("wdf.rtq",,$A129,P$2)</f>
        <v>-3.0000000000000003E-4</v>
      </c>
      <c r="Q129" s="3">
        <f>[1]!w_info_ptmtradeday(A129,"")</f>
        <v>114</v>
      </c>
      <c r="R129" s="1" t="str">
        <f>[1]!w_info_callput(A129)</f>
        <v>认沽</v>
      </c>
      <c r="S129" s="7">
        <f>[1]!s_info_margin(A129)</f>
        <v>11069.4</v>
      </c>
    </row>
    <row r="130" spans="1:19" x14ac:dyDescent="0.25">
      <c r="A130" s="6" t="s">
        <v>145</v>
      </c>
      <c r="B130" s="9">
        <f>[1]!w_info_strikeprice(A130,"")</f>
        <v>4.3</v>
      </c>
      <c r="C130" s="2">
        <f>RTD("wdf.rtq",,A130,"LastPrice")</f>
        <v>0.65650000000000008</v>
      </c>
      <c r="D130" s="2">
        <f t="shared" si="1"/>
        <v>0.65175000000000005</v>
      </c>
      <c r="E130" s="2">
        <f>RTD("wdf.rtq",,A130,"Bid_Price1")</f>
        <v>0.6401</v>
      </c>
      <c r="F130" s="2">
        <f>RTD("wdf.rtq",,A130,"Ask_Price1")</f>
        <v>0.66339999999999999</v>
      </c>
      <c r="G130" s="2">
        <f>RTD("wdf.rtq",,A130,"Change")</f>
        <v>-8.2900000000000001E-2</v>
      </c>
      <c r="H130" s="2">
        <f>RTD("wdf.rtq",,A130,"PctChg")</f>
        <v>-11.21</v>
      </c>
      <c r="I130" s="2">
        <f>RTD("wdf.rtq",,A130,"Volume")</f>
        <v>28</v>
      </c>
      <c r="J130" s="2">
        <f>RTD("wdf.rtq",,A130, "rt_oi","RT_Price")</f>
        <v>486</v>
      </c>
      <c r="K130" s="2">
        <f>RTD("wdf.rtq",,A130,"ImpliedVol")</f>
        <v>0.38490000000000002</v>
      </c>
      <c r="L130" s="2">
        <f>RTD("wdf.rtq",,A130, "rt_miv","RT_Price")</f>
        <v>0.39640000000000003</v>
      </c>
      <c r="M130" s="2">
        <f>RTD("wdf.rtq",,A130,"Delta")</f>
        <v>-0.59260000000000002</v>
      </c>
      <c r="N130" s="2">
        <f ca="1">RTD("wdf.rtq",,$A130,N$2)</f>
        <v>6.8500000000000005E-2</v>
      </c>
      <c r="O130" s="2">
        <f ca="1">RTD("wdf.rtq",,$A130,O$2)</f>
        <v>2.0000000000000001E-4</v>
      </c>
      <c r="P130" s="2">
        <f ca="1">RTD("wdf.rtq",,$A130,P$2)</f>
        <v>-3.0000000000000003E-4</v>
      </c>
      <c r="Q130" s="3">
        <f>[1]!w_info_ptmtradeday(A130,"")</f>
        <v>114</v>
      </c>
      <c r="R130" s="1" t="str">
        <f>[1]!w_info_callput(A130)</f>
        <v>认沽</v>
      </c>
      <c r="S130" s="7">
        <f>[1]!s_info_margin(A130)</f>
        <v>11781.4</v>
      </c>
    </row>
    <row r="131" spans="1:19" x14ac:dyDescent="0.25">
      <c r="A131" s="6" t="s">
        <v>146</v>
      </c>
      <c r="B131" s="9">
        <f>[1]!w_info_strikeprice(A131,"")</f>
        <v>4.4000000000000004</v>
      </c>
      <c r="C131" s="2">
        <f>RTD("wdf.rtq",,A131,"LastPrice")</f>
        <v>0.78</v>
      </c>
      <c r="D131" s="2">
        <f t="shared" ref="D131:D135" si="2">AVERAGE(E131:F131)</f>
        <v>0.71900000000000008</v>
      </c>
      <c r="E131" s="2">
        <f>RTD("wdf.rtq",,A131,"Bid_Price1")</f>
        <v>0.70330000000000004</v>
      </c>
      <c r="F131" s="2">
        <f>RTD("wdf.rtq",,A131,"Ask_Price1")</f>
        <v>0.73470000000000002</v>
      </c>
      <c r="G131" s="2">
        <f>RTD("wdf.rtq",,A131,"Change")</f>
        <v>0</v>
      </c>
      <c r="H131" s="2">
        <f>RTD("wdf.rtq",,A131,"PctChg")</f>
        <v>0</v>
      </c>
      <c r="I131" s="2">
        <f>RTD("wdf.rtq",,A131,"Volume")</f>
        <v>0</v>
      </c>
      <c r="J131" s="2">
        <f>RTD("wdf.rtq",,A131, "rt_oi","RT_Price")</f>
        <v>487</v>
      </c>
      <c r="K131" s="2">
        <f>RTD("wdf.rtq",,A131,"ImpliedVol")</f>
        <v>0</v>
      </c>
      <c r="L131" s="2">
        <f>RTD("wdf.rtq",,A131, "rt_miv","RT_Price")</f>
        <v>0.39440000000000003</v>
      </c>
      <c r="M131" s="2">
        <f>RTD("wdf.rtq",,A131,"Delta")</f>
        <v>-0.61050000000000004</v>
      </c>
      <c r="N131" s="2">
        <f ca="1">RTD("wdf.rtq",,$A131,N$2)</f>
        <v>6.8500000000000005E-2</v>
      </c>
      <c r="O131" s="2">
        <f ca="1">RTD("wdf.rtq",,$A131,O$2)</f>
        <v>2.0000000000000001E-4</v>
      </c>
      <c r="P131" s="2">
        <f ca="1">RTD("wdf.rtq",,$A131,P$2)</f>
        <v>-3.0000000000000003E-4</v>
      </c>
      <c r="Q131" s="3">
        <f>[1]!w_info_ptmtradeday(A131,"")</f>
        <v>114</v>
      </c>
      <c r="R131" s="1" t="str">
        <f>[1]!w_info_callput(A131)</f>
        <v>认沽</v>
      </c>
      <c r="S131" s="7">
        <f>[1]!s_info_margin(A131)</f>
        <v>12526.4</v>
      </c>
    </row>
    <row r="132" spans="1:19" x14ac:dyDescent="0.25">
      <c r="A132" s="6" t="s">
        <v>147</v>
      </c>
      <c r="B132" s="9">
        <f>[1]!w_info_strikeprice(A132,"")</f>
        <v>4.5</v>
      </c>
      <c r="C132" s="2">
        <f>RTD("wdf.rtq",,A132,"LastPrice")</f>
        <v>0.79180000000000006</v>
      </c>
      <c r="D132" s="2">
        <f t="shared" si="2"/>
        <v>0.79275000000000007</v>
      </c>
      <c r="E132" s="2">
        <f>RTD("wdf.rtq",,A132,"Bid_Price1")</f>
        <v>0.7762</v>
      </c>
      <c r="F132" s="2">
        <f>RTD("wdf.rtq",,A132,"Ask_Price1")</f>
        <v>0.80930000000000002</v>
      </c>
      <c r="G132" s="2">
        <f>RTD("wdf.rtq",,A132,"Change")</f>
        <v>-0.1018</v>
      </c>
      <c r="H132" s="2">
        <f>RTD("wdf.rtq",,A132,"PctChg")</f>
        <v>-11.39</v>
      </c>
      <c r="I132" s="2">
        <f>RTD("wdf.rtq",,A132,"Volume")</f>
        <v>5</v>
      </c>
      <c r="J132" s="2">
        <f>RTD("wdf.rtq",,A132, "rt_oi","RT_Price")</f>
        <v>3402</v>
      </c>
      <c r="K132" s="2">
        <f>RTD("wdf.rtq",,A132,"ImpliedVol")</f>
        <v>0.39510000000000001</v>
      </c>
      <c r="L132" s="2">
        <f>RTD("wdf.rtq",,A132, "rt_miv","RT_Price")</f>
        <v>0.39590000000000003</v>
      </c>
      <c r="M132" s="2">
        <f>RTD("wdf.rtq",,A132,"Delta")</f>
        <v>-0.64119999999999999</v>
      </c>
      <c r="N132" s="2">
        <f ca="1">RTD("wdf.rtq",,$A132,N$2)</f>
        <v>6.8500000000000005E-2</v>
      </c>
      <c r="O132" s="2">
        <f ca="1">RTD("wdf.rtq",,$A132,O$2)</f>
        <v>2.0000000000000001E-4</v>
      </c>
      <c r="P132" s="2">
        <f ca="1">RTD("wdf.rtq",,$A132,P$2)</f>
        <v>-3.0000000000000003E-4</v>
      </c>
      <c r="Q132" s="3">
        <f>[1]!w_info_ptmtradeday(A132,"")</f>
        <v>114</v>
      </c>
      <c r="R132" s="1" t="str">
        <f>[1]!w_info_callput(A132)</f>
        <v>认沽</v>
      </c>
      <c r="S132" s="7">
        <f>[1]!s_info_margin(A132)</f>
        <v>13363.4</v>
      </c>
    </row>
    <row r="133" spans="1:19" x14ac:dyDescent="0.25">
      <c r="A133" s="6" t="s">
        <v>148</v>
      </c>
      <c r="B133" s="9">
        <f>[1]!w_info_strikeprice(A133,"")</f>
        <v>4.5999999999999996</v>
      </c>
      <c r="C133" s="2">
        <f>RTD("wdf.rtq",,A133,"LastPrice")</f>
        <v>0.88180000000000003</v>
      </c>
      <c r="D133" s="2">
        <f t="shared" si="2"/>
        <v>0.86895000000000011</v>
      </c>
      <c r="E133" s="2">
        <f>RTD("wdf.rtq",,A133,"Bid_Price1")</f>
        <v>0.85160000000000002</v>
      </c>
      <c r="F133" s="2">
        <f>RTD("wdf.rtq",,A133,"Ask_Price1")</f>
        <v>0.88630000000000009</v>
      </c>
      <c r="G133" s="2">
        <f>RTD("wdf.rtq",,A133,"Change")</f>
        <v>-9.4200000000000006E-2</v>
      </c>
      <c r="H133" s="2">
        <f>RTD("wdf.rtq",,A133,"PctChg")</f>
        <v>-9.65</v>
      </c>
      <c r="I133" s="2">
        <f>RTD("wdf.rtq",,A133,"Volume")</f>
        <v>6</v>
      </c>
      <c r="J133" s="2">
        <f>RTD("wdf.rtq",,A133, "rt_oi","RT_Price")</f>
        <v>448</v>
      </c>
      <c r="K133" s="2">
        <f>RTD("wdf.rtq",,A133,"ImpliedVol")</f>
        <v>0.39080000000000004</v>
      </c>
      <c r="L133" s="2">
        <f>RTD("wdf.rtq",,A133, "rt_miv","RT_Price")</f>
        <v>0.39740000000000003</v>
      </c>
      <c r="M133" s="2">
        <f>RTD("wdf.rtq",,A133,"Delta")</f>
        <v>-0.68310000000000004</v>
      </c>
      <c r="N133" s="2">
        <f ca="1">RTD("wdf.rtq",,$A133,N$2)</f>
        <v>6.8500000000000005E-2</v>
      </c>
      <c r="O133" s="2">
        <f ca="1">RTD("wdf.rtq",,$A133,O$2)</f>
        <v>2.0000000000000001E-4</v>
      </c>
      <c r="P133" s="2">
        <f ca="1">RTD("wdf.rtq",,$A133,P$2)</f>
        <v>-3.0000000000000003E-4</v>
      </c>
      <c r="Q133" s="3">
        <f>[1]!w_info_ptmtradeday(A133,"")</f>
        <v>114</v>
      </c>
      <c r="R133" s="1" t="str">
        <f>[1]!w_info_callput(A133)</f>
        <v>认沽</v>
      </c>
      <c r="S133" s="7">
        <f>[1]!s_info_margin(A133)</f>
        <v>14100.4</v>
      </c>
    </row>
    <row r="134" spans="1:19" x14ac:dyDescent="0.25">
      <c r="A134" s="6" t="s">
        <v>149</v>
      </c>
      <c r="B134" s="9">
        <f>[1]!w_info_strikeprice(A134,"")</f>
        <v>4.7</v>
      </c>
      <c r="C134" s="2">
        <f>RTD("wdf.rtq",,A134,"LastPrice")</f>
        <v>1.0175000000000001</v>
      </c>
      <c r="D134" s="2">
        <f t="shared" si="2"/>
        <v>0.94800000000000006</v>
      </c>
      <c r="E134" s="2">
        <f>RTD("wdf.rtq",,A134,"Bid_Price1")</f>
        <v>0.92980000000000007</v>
      </c>
      <c r="F134" s="2">
        <f>RTD("wdf.rtq",,A134,"Ask_Price1")</f>
        <v>0.96620000000000006</v>
      </c>
      <c r="G134" s="2">
        <f>RTD("wdf.rtq",,A134,"Change")</f>
        <v>0</v>
      </c>
      <c r="H134" s="2">
        <f>RTD("wdf.rtq",,A134,"PctChg")</f>
        <v>0</v>
      </c>
      <c r="I134" s="2">
        <f>RTD("wdf.rtq",,A134,"Volume")</f>
        <v>0</v>
      </c>
      <c r="J134" s="2">
        <f>RTD("wdf.rtq",,A134, "rt_oi","RT_Price")</f>
        <v>135</v>
      </c>
      <c r="K134" s="2">
        <f>RTD("wdf.rtq",,A134,"ImpliedVol")</f>
        <v>0</v>
      </c>
      <c r="L134" s="2">
        <f>RTD("wdf.rtq",,A134, "rt_miv","RT_Price")</f>
        <v>0.39940000000000003</v>
      </c>
      <c r="M134" s="2">
        <f>RTD("wdf.rtq",,A134,"Delta")</f>
        <v>-0.69610000000000005</v>
      </c>
      <c r="N134" s="2">
        <f ca="1">RTD("wdf.rtq",,$A134,N$2)</f>
        <v>6.8500000000000005E-2</v>
      </c>
      <c r="O134" s="2">
        <f ca="1">RTD("wdf.rtq",,$A134,O$2)</f>
        <v>2.0000000000000001E-4</v>
      </c>
      <c r="P134" s="2">
        <f ca="1">RTD("wdf.rtq",,$A134,P$2)</f>
        <v>-3.0000000000000003E-4</v>
      </c>
      <c r="Q134" s="3">
        <f>[1]!w_info_ptmtradeday(A134,"")</f>
        <v>114</v>
      </c>
      <c r="R134" s="1" t="str">
        <f>[1]!w_info_callput(A134)</f>
        <v>认沽</v>
      </c>
      <c r="S134" s="7">
        <f>[1]!s_info_margin(A134)</f>
        <v>14924.4</v>
      </c>
    </row>
    <row r="135" spans="1:19" x14ac:dyDescent="0.25">
      <c r="A135" s="6" t="s">
        <v>150</v>
      </c>
      <c r="B135" s="9">
        <f>[1]!w_info_strikeprice(A135,"")</f>
        <v>4.8</v>
      </c>
      <c r="C135" s="2">
        <f>RTD("wdf.rtq",,A135,"LastPrice")</f>
        <v>1.1352</v>
      </c>
      <c r="D135" s="2">
        <f t="shared" si="2"/>
        <v>1.02935</v>
      </c>
      <c r="E135" s="2">
        <f>RTD("wdf.rtq",,A135,"Bid_Price1")</f>
        <v>1.0107000000000002</v>
      </c>
      <c r="F135" s="2">
        <f>RTD("wdf.rtq",,A135,"Ask_Price1")</f>
        <v>1.048</v>
      </c>
      <c r="G135" s="2">
        <f>RTD("wdf.rtq",,A135,"Change")</f>
        <v>-9.7999999999999997E-3</v>
      </c>
      <c r="H135" s="2">
        <f>RTD("wdf.rtq",,A135,"PctChg")</f>
        <v>-0.86</v>
      </c>
      <c r="I135" s="2">
        <f>RTD("wdf.rtq",,A135,"Volume")</f>
        <v>1</v>
      </c>
      <c r="J135" s="2">
        <f>RTD("wdf.rtq",,A135, "rt_oi","RT_Price")</f>
        <v>289</v>
      </c>
      <c r="K135" s="2">
        <f>RTD("wdf.rtq",,A135,"ImpliedVol")</f>
        <v>0.39169999999999999</v>
      </c>
      <c r="L135" s="2">
        <f>RTD("wdf.rtq",,A135, "rt_miv","RT_Price")</f>
        <v>0.40150000000000002</v>
      </c>
      <c r="M135" s="2">
        <f>RTD("wdf.rtq",,A135,"Delta")</f>
        <v>-0.77270000000000005</v>
      </c>
      <c r="N135" s="2">
        <f ca="1">RTD("wdf.rtq",,$A135,N$2)</f>
        <v>6.8500000000000005E-2</v>
      </c>
      <c r="O135" s="2">
        <f ca="1">RTD("wdf.rtq",,$A135,O$2)</f>
        <v>2.0000000000000001E-4</v>
      </c>
      <c r="P135" s="2">
        <f ca="1">RTD("wdf.rtq",,$A135,P$2)</f>
        <v>-3.0000000000000003E-4</v>
      </c>
      <c r="Q135" s="3">
        <f>[1]!w_info_ptmtradeday(A135,"")</f>
        <v>114</v>
      </c>
      <c r="R135" s="1" t="str">
        <f>[1]!w_info_callput(A135)</f>
        <v>认沽</v>
      </c>
      <c r="S135" s="7">
        <f>[1]!s_info_margin(A135)</f>
        <v>15769.4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创业板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biyang</dc:creator>
  <cp:lastModifiedBy>li biyang</cp:lastModifiedBy>
  <dcterms:created xsi:type="dcterms:W3CDTF">2026-07-09T07:08:26Z</dcterms:created>
  <dcterms:modified xsi:type="dcterms:W3CDTF">2026-07-09T07:54:27Z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F41149B0-6DCC-4BCC-806D-BADA1927FAC4</vt:lpwstr>
  </property>
</Properties>
</file>