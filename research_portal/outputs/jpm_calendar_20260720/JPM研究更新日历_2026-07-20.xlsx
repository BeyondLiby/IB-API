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9c0f98f2d84e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更新日历" sheetId="1" r:id="R802539fb483b4ba7"/>
    <x:sheet xmlns:r="http://schemas.openxmlformats.org/officeDocument/2006/relationships" name="未来日历" sheetId="2" r:id="Rc62f389e17e24e64"/>
    <x:sheet xmlns:r="http://schemas.openxmlformats.org/officeDocument/2006/relationships" name="历史样本" sheetId="3" r:id="R656464b3d9a84223"/>
    <x:sheet xmlns:r="http://schemas.openxmlformats.org/officeDocument/2006/relationships" name="方法说明" sheetId="4" r:id="R1f25f04c809e49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66666"/>
      <x:name val="Carlito"/>
    </x:font>
    <x:font>
      <x:b/>
      <x:sz val="11"/>
      <x:color rgb="FF3B2314"/>
      <x:name val="Carlito"/>
    </x:font>
    <x:font>
      <x:b/>
      <x:sz val="11"/>
      <x:color rgb="FFFFFFFF"/>
      <x:name val="Carlito"/>
    </x:font>
    <x:font>
      <x:sz val="11"/>
      <x:color rgb="FF666666"/>
      <x:name val="Carlito"/>
    </x:font>
    <x:font>
      <x:b/>
      <x:sz val="17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B2314"/>
      </x:patternFill>
    </x:fill>
    <x:fill>
      <x:patternFill patternType="solid">
        <x:fgColor rgb="FFF2ECE8"/>
      </x:patternFill>
    </x:fill>
    <x:fill>
      <x:patternFill patternType="solid">
        <x:fgColor rgb="FFDCE6F1"/>
      </x:patternFill>
    </x:fill>
    <x:fill>
      <x:patternFill patternType="solid">
        <x:fgColor rgb="FF6A4632"/>
      </x:patternFill>
    </x:fill>
  </x:fills>
  <x:borders count="9">
    <x:border/>
    <x:border>
      <x:left style="thin">
        <x:color rgb="FFD9D2CC"/>
      </x:left>
      <x:top style="thin">
        <x:color rgb="FFD9D2CC"/>
      </x:top>
      <x:bottom style="thin">
        <x:color rgb="FFD9D2CC"/>
      </x:bottom>
    </x:border>
    <x:border>
      <x:right style="thin">
        <x:color rgb="FFD9D2CC"/>
      </x:right>
      <x:top style="thin">
        <x:color rgb="FFD9D2CC"/>
      </x:top>
      <x:bottom style="thin">
        <x:color rgb="FFD9D2CC"/>
      </x:bottom>
    </x:border>
    <x:border>
      <x:bottom style="thin">
        <x:color rgb="FFD9D2CC"/>
      </x:bottom>
    </x:border>
    <x:border>
      <x:top style="thin">
        <x:color rgb="FFD9D2CC"/>
      </x:top>
      <x:bottom style="thin">
        <x:color rgb="FFD9D2CC"/>
      </x:bottom>
    </x:border>
    <x:border>
      <x:left style="thin">
        <x:color rgb="FF3B2314"/>
      </x:left>
      <x:top style="thin">
        <x:color rgb="FF3B2314"/>
      </x:top>
      <x:bottom style="thin">
        <x:color rgb="FF3B2314"/>
      </x:bottom>
    </x:border>
    <x:border>
      <x:top style="thin">
        <x:color rgb="FF3B2314"/>
      </x:top>
      <x:bottom style="thin">
        <x:color rgb="FF3B2314"/>
      </x:bottom>
    </x:border>
    <x:border>
      <x:right style="thin">
        <x:color rgb="FF3B2314"/>
      </x:right>
      <x:top style="thin">
        <x:color rgb="FF3B2314"/>
      </x:top>
      <x:bottom style="thin">
        <x:color rgb="FF3B2314"/>
      </x:bottom>
    </x:border>
    <x:border>
      <x:top style="thin">
        <x:color rgb="FFD9D2CC"/>
      </x:top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20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horizontal="center"/>
    </x:xf>
    <x:xf numFmtId="0" fontId="0" fillId="5" borderId="3" xfId="0" applyNumberFormat="1" applyFont="1" applyFill="1" applyBorder="1"/>
    <x:xf numFmtId="0" fontId="4" fillId="5" borderId="3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8" xfId="0" applyNumberFormat="1" applyFont="1" applyFill="1" applyBorder="1"/>
    <x:xf numFmtId="0" fontId="0" fillId="0" borderId="8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07d15dbf064d2b" /><Relationship Type="http://schemas.openxmlformats.org/officeDocument/2006/relationships/theme" Target="/xl/theme/theme1.xml" Id="Red4af9e8f88c4169" /><Relationship Type="http://schemas.openxmlformats.org/officeDocument/2006/relationships/sharedStrings" Target="/xl/sharedStrings.xml" Id="Rbc4d7970b96d40a9" /><Relationship Type="http://schemas.openxmlformats.org/officeDocument/2006/relationships/worksheet" Target="/xl/worksheets/sheet1.xml" Id="R802539fb483b4ba7" /><Relationship Type="http://schemas.openxmlformats.org/officeDocument/2006/relationships/worksheet" Target="/xl/worksheets/sheet2.xml" Id="Rc62f389e17e24e64" /><Relationship Type="http://schemas.openxmlformats.org/officeDocument/2006/relationships/worksheet" Target="/xl/worksheets/sheet3.xml" Id="R656464b3d9a84223" /><Relationship Type="http://schemas.openxmlformats.org/officeDocument/2006/relationships/worksheet" Target="/xl/worksheets/sheet4.xml" Id="R1f25f04c809e49e7" /></Relationships>
</file>

<file path=xl/tables/table1.xml><?xml version="1.0" encoding="utf-8"?>
<x:table xmlns:x="http://schemas.openxmlformats.org/spreadsheetml/2006/main" id="1" name="JpmScheduleTable" displayName="JpmScheduleTable" ref="A7:L18" headerRowCount="1" totalsRowCount="0" totalsRowShown="0">
  <x:autoFilter ref="A7:L18"/>
  <x:tableColumns count="12">
    <x:tableColumn id="1" name="报告类型"/>
    <x:tableColumn id="2" name="类别"/>
    <x:tableColumn id="3" name="当前更新日期"/>
    <x:tableColumn id="4" name="下一次预计更新日期"/>
    <x:tableColumn id="5" name="推断更新频率"/>
    <x:tableColumn id="6" name="页面 Items/月"/>
    <x:tableColumn id="7" name="推算周期(天)"/>
    <x:tableColumn id="8" name="历史中位间隔(天)"/>
    <x:tableColumn id="9" name="常见更新日"/>
    <x:tableColumn id="10" name="历史样本数"/>
    <x:tableColumn id="11" name="置信度"/>
    <x:tableColumn id="12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pcomingCalendarTable" displayName="UpcomingCalendarTable" ref="A4:G15" headerRowCount="1" totalsRowCount="0" totalsRowShown="0">
  <x:tableColumns count="7">
    <x:tableColumn id="1" name="下一次预计更新日期"/>
    <x:tableColumn id="2" name="星期"/>
    <x:tableColumn id="3" name="报告类型"/>
    <x:tableColumn id="4" name="类别"/>
    <x:tableColumn id="5" name="推断更新频率"/>
    <x:tableColumn id="6" name="置信度"/>
    <x:tableColumn id="7" name="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istoricalSamplesTable" displayName="HistoricalSamplesTable" ref="A3:G103" headerRowCount="1" totalsRowCount="0" totalsRowShown="0">
  <x:tableColumns count="7">
    <x:tableColumn id="1" name="订阅栏目"/>
    <x:tableColumn id="2" name="类别"/>
    <x:tableColumn id="3" name="发布日期"/>
    <x:tableColumn id="4" name="报告类型（标题首段）"/>
    <x:tableColumn id="5" name="完整标题"/>
    <x:tableColumn id="6" name="文档ID"/>
    <x:tableColumn id="7" name="来源链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8e0339033840f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da7ba2c688f4f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9a820b32e8e41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3" hidden="0" customWidth="1"/>
    <x:col min="3" max="3" width="16" hidden="0" customWidth="1"/>
    <x:col min="4" max="4" width="16" hidden="0" customWidth="1"/>
    <x:col min="5" max="5" width="2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0" hidden="0" customWidth="1"/>
    <x:col min="12" max="12" width="42" hidden="0" customWidth="1"/>
  </x:cols>
  <x:sheetData>
    <x:row r="1" ht="34" customHeight="1">
      <x:c r="A1" s="4" t="str">
        <x:v>JPM Research 更新日历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7" t="str">
        <x:v>基于 My Research Subscriptions 可见历史与页面 Items/Month 的统计推算；预计日期不是 JPM 官方发布日期承诺。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>
      <x:c r="A3" s="10" t="str">
        <x:v>基准日期</x:v>
      </x:c>
      <x:c r="B3" s="12" t="n">
        <x:v>46223</x:v>
      </x:c>
      <x:c r="C3"/>
      <x:c r="D3" s="10" t="str">
        <x:v>订阅栏目</x:v>
      </x:c>
      <x:c r="E3" s="13" t="n">
        <x:f>COUNTA(A8:A18)</x:f>
        <x:v>11</x:v>
      </x:c>
      <x:c r="F3" s="14"/>
      <x:c r="G3" s="15" t="str">
        <x:v>未来7天预计</x:v>
      </x:c>
      <x:c r="H3" s="13" t="n">
        <x:f>COUNTIFS(D8:D18,"&gt;"&amp;B3,D8:D18,"&lt;="&amp;B3+7)</x:f>
        <x:v>7</x:v>
      </x:c>
      <x:c r="I3"/>
      <x:c r="J3" s="10" t="str">
        <x:v>高置信度</x:v>
      </x:c>
      <x:c r="K3" s="13" t="n">
        <x:f>COUNTIF(K8:K18,"高")</x:f>
        <x:v>4</x:v>
      </x:c>
    </x:row>
    <x:row r="7" ht="32" customHeight="1">
      <x:c r="A7" s="32" t="str">
        <x:v>报告类型</x:v>
      </x:c>
      <x:c r="B7" s="33" t="str">
        <x:v>类别</x:v>
      </x:c>
      <x:c r="C7" s="33" t="str">
        <x:v>当前更新日期</x:v>
      </x:c>
      <x:c r="D7" s="33" t="str">
        <x:v>下一次预计更新日期</x:v>
      </x:c>
      <x:c r="E7" s="33" t="str">
        <x:v>推断更新频率</x:v>
      </x:c>
      <x:c r="F7" s="33" t="str">
        <x:v>页面 Items/月</x:v>
      </x:c>
      <x:c r="G7" s="33" t="str">
        <x:v>推算周期(天)</x:v>
      </x:c>
      <x:c r="H7" s="33" t="str">
        <x:v>历史中位间隔(天)</x:v>
      </x:c>
      <x:c r="I7" s="33" t="str">
        <x:v>常见更新日</x:v>
      </x:c>
      <x:c r="J7" s="33" t="str">
        <x:v>历史样本数</x:v>
      </x:c>
      <x:c r="K7" s="33" t="str">
        <x:v>置信度</x:v>
      </x:c>
      <x:c r="L7" s="34" t="str">
        <x:v>说明</x:v>
      </x:c>
    </x:row>
    <x:row r="8" ht="32" customHeight="1">
      <x:c r="A8" s="35" t="str">
        <x:v>Joseph Cardoso</x:v>
      </x:c>
      <x:c r="B8" s="35" t="str">
        <x:v>Analyst</x:v>
      </x:c>
      <x:c r="C8" s="36" t="n">
        <x:v>46219</x:v>
      </x:c>
      <x:c r="D8" s="36" t="n">
        <x:f>WORKDAY(C8+G8*(INT(($B$3-C8)/G8)+1)-1,1)</x:f>
        <x:v>46224</x:v>
      </x:c>
      <x:c r="E8" s="35" t="str">
        <x:v>高频（约40次/月）</x:v>
      </x:c>
      <x:c r="F8" s="37" t="n">
        <x:v>40</x:v>
      </x:c>
      <x:c r="G8" s="37" t="n">
        <x:v>1</x:v>
      </x:c>
      <x:c r="H8" s="37" t="n">
        <x:v>1.5</x:v>
      </x:c>
      <x:c r="I8" s="37" t="str">
        <x:v>周一</x:v>
      </x:c>
      <x:c r="J8" s="37" t="n">
        <x:v>10</x:v>
      </x:c>
      <x:c r="K8" s="37" t="str">
        <x:v>中</x:v>
      </x:c>
      <x:c r="L8" s="35" t="str">
        <x:v>按下一个工作日推算；非官方日程</x:v>
      </x:c>
    </x:row>
    <x:row r="9" ht="32" customHeight="1">
      <x:c r="A9" s="35" t="str">
        <x:v>China Equity Strategy</x:v>
      </x:c>
      <x:c r="B9" s="35" t="str">
        <x:v>Publication</x:v>
      </x:c>
      <x:c r="C9" s="36" t="n">
        <x:v>46218</x:v>
      </x:c>
      <x:c r="D9" s="36" t="n">
        <x:f>WORKDAY(C9+G9*(INT(($B$3-C9)/G9)+1)-1,1)</x:f>
        <x:v>46248</x:v>
      </x:c>
      <x:c r="E9" s="35" t="str">
        <x:v>约每月</x:v>
      </x:c>
      <x:c r="F9" s="37" t="n">
        <x:v>1</x:v>
      </x:c>
      <x:c r="G9" s="37" t="n">
        <x:v>30</x:v>
      </x:c>
      <x:c r="H9" s="37" t="n">
        <x:v>7</x:v>
      </x:c>
      <x:c r="I9" s="37" t="str">
        <x:v>周三</x:v>
      </x:c>
      <x:c r="J9" s="37" t="n">
        <x:v>10</x:v>
      </x:c>
      <x:c r="K9" s="37" t="str">
        <x:v>低</x:v>
      </x:c>
      <x:c r="L9" s="35" t="str">
        <x:v>历史间隔波动较大；仅作提醒，非官方日程</x:v>
      </x:c>
    </x:row>
    <x:row r="10" ht="32" customHeight="1">
      <x:c r="A10" s="35" t="str">
        <x:v>Equity Volatility Strategy Dispersion Chartbook</x:v>
      </x:c>
      <x:c r="B10" s="35" t="str">
        <x:v>Publication</x:v>
      </x:c>
      <x:c r="C10" s="36" t="n">
        <x:v>46188</x:v>
      </x:c>
      <x:c r="D10" s="36" t="n">
        <x:f>WORKDAY(C10+G10*(INT(($B$3-C10)/G10)+1)-1,1)</x:f>
        <x:v>46248</x:v>
      </x:c>
      <x:c r="E10" s="35" t="str">
        <x:v>约每月</x:v>
      </x:c>
      <x:c r="F10" s="37" t="n">
        <x:v>1</x:v>
      </x:c>
      <x:c r="G10" s="37" t="n">
        <x:v>30</x:v>
      </x:c>
      <x:c r="H10" s="37" t="n">
        <x:v>21.5</x:v>
      </x:c>
      <x:c r="I10" s="37" t="str">
        <x:v>周二</x:v>
      </x:c>
      <x:c r="J10" s="37" t="n">
        <x:v>5</x:v>
      </x:c>
      <x:c r="K10" s="37" t="str">
        <x:v>中</x:v>
      </x:c>
      <x:c r="L10" s="35" t="str">
        <x:v>按页面 Items/Month 换算并滚动至基准日之后；非官方日程</x:v>
      </x:c>
    </x:row>
    <x:row r="11" ht="32" customHeight="1">
      <x:c r="A11" s="35" t="str">
        <x:v>Flows &amp; Liquidity</x:v>
      </x:c>
      <x:c r="B11" s="35" t="str">
        <x:v>Publication</x:v>
      </x:c>
      <x:c r="C11" s="36" t="n">
        <x:v>46197</x:v>
      </x:c>
      <x:c r="D11" s="36" t="n">
        <x:f>WORKDAY(C11+G11*(INT(($B$3-C11)/G11)+1)-1,1)</x:f>
        <x:v>46227</x:v>
      </x:c>
      <x:c r="E11" s="35" t="str">
        <x:v>约每月</x:v>
      </x:c>
      <x:c r="F11" s="37" t="n">
        <x:v>1</x:v>
      </x:c>
      <x:c r="G11" s="37" t="n">
        <x:v>30</x:v>
      </x:c>
      <x:c r="H11" s="37" t="n">
        <x:v>59.5</x:v>
      </x:c>
      <x:c r="I11" s="37" t="str">
        <x:v>周三</x:v>
      </x:c>
      <x:c r="J11" s="37" t="n">
        <x:v>5</x:v>
      </x:c>
      <x:c r="K11" s="37" t="str">
        <x:v>低</x:v>
      </x:c>
      <x:c r="L11" s="35" t="str">
        <x:v>历史间隔波动较大；仅作提醒，非官方日程</x:v>
      </x:c>
    </x:row>
    <x:row r="12" ht="32" customHeight="1">
      <x:c r="A12" s="35" t="str">
        <x:v>Global Equity Strategy</x:v>
      </x:c>
      <x:c r="B12" s="35" t="str">
        <x:v>Publication</x:v>
      </x:c>
      <x:c r="C12" s="36" t="n">
        <x:v>46223</x:v>
      </x:c>
      <x:c r="D12" s="36" t="n">
        <x:f>WORKDAY(C12+G12*(INT(($B$3-C12)/G12)+1)-1,1)</x:f>
        <x:v>46253</x:v>
      </x:c>
      <x:c r="E12" s="35" t="str">
        <x:v>约每月</x:v>
      </x:c>
      <x:c r="F12" s="37" t="n">
        <x:v>1</x:v>
      </x:c>
      <x:c r="G12" s="37" t="n">
        <x:v>30</x:v>
      </x:c>
      <x:c r="H12" s="37" t="n">
        <x:v>24</x:v>
      </x:c>
      <x:c r="I12" s="37" t="str">
        <x:v>周五</x:v>
      </x:c>
      <x:c r="J12" s="37" t="n">
        <x:v>10</x:v>
      </x:c>
      <x:c r="K12" s="37" t="str">
        <x:v>中</x:v>
      </x:c>
      <x:c r="L12" s="35" t="str">
        <x:v>按页面 Items/Month 换算并滚动至基准日之后；非官方日程</x:v>
      </x:c>
    </x:row>
    <x:row r="13" ht="32" customHeight="1">
      <x:c r="A13" s="35" t="str">
        <x:v>Global Equity Strategy Weekly &amp; Monthly Chartbook</x:v>
      </x:c>
      <x:c r="B13" s="35" t="str">
        <x:v>Publication</x:v>
      </x:c>
      <x:c r="C13" s="36" t="n">
        <x:v>46223</x:v>
      </x:c>
      <x:c r="D13" s="36" t="n">
        <x:f>WORKDAY(C13+G13*(INT(($B$3-C13)/G13)+1)-1,1)</x:f>
        <x:v>46230</x:v>
      </x:c>
      <x:c r="E13" s="35" t="str">
        <x:v>每周</x:v>
      </x:c>
      <x:c r="F13" s="37" t="n">
        <x:v>2</x:v>
      </x:c>
      <x:c r="G13" s="37" t="n">
        <x:v>7</x:v>
      </x:c>
      <x:c r="H13" s="37" t="n">
        <x:v>7</x:v>
      </x:c>
      <x:c r="I13" s="37" t="str">
        <x:v>周一</x:v>
      </x:c>
      <x:c r="J13" s="37" t="n">
        <x:v>10</x:v>
      </x:c>
      <x:c r="K13" s="37" t="str">
        <x:v>高</x:v>
      </x:c>
      <x:c r="L13" s="35" t="str">
        <x:v>按最近样本的周度节奏推算；非官方日程</x:v>
      </x:c>
    </x:row>
    <x:row r="14" ht="32" customHeight="1">
      <x:c r="A14" s="35" t="str">
        <x:v>Global index volatility chartbook</x:v>
      </x:c>
      <x:c r="B14" s="35" t="str">
        <x:v>Publication</x:v>
      </x:c>
      <x:c r="C14" s="36" t="n">
        <x:v>46216</x:v>
      </x:c>
      <x:c r="D14" s="36" t="n">
        <x:f>WORKDAY(C14+G14*(INT(($B$3-C14)/G14)+1)-1,1)</x:f>
        <x:v>46230</x:v>
      </x:c>
      <x:c r="E14" s="35" t="str">
        <x:v>每周</x:v>
      </x:c>
      <x:c r="F14" s="37" t="n">
        <x:v>4</x:v>
      </x:c>
      <x:c r="G14" s="37" t="n">
        <x:v>7</x:v>
      </x:c>
      <x:c r="H14" s="37" t="n">
        <x:v>7</x:v>
      </x:c>
      <x:c r="I14" s="37" t="str">
        <x:v>周一</x:v>
      </x:c>
      <x:c r="J14" s="37" t="n">
        <x:v>10</x:v>
      </x:c>
      <x:c r="K14" s="37" t="str">
        <x:v>高</x:v>
      </x:c>
      <x:c r="L14" s="35" t="str">
        <x:v>按最近样本的周度节奏推算；非官方日程</x:v>
      </x:c>
    </x:row>
    <x:row r="15" ht="32" customHeight="1">
      <x:c r="A15" s="35" t="str">
        <x:v>Japan Equity Strategy (English)</x:v>
      </x:c>
      <x:c r="B15" s="35" t="str">
        <x:v>Publication</x:v>
      </x:c>
      <x:c r="C15" s="36" t="n">
        <x:v>46216</x:v>
      </x:c>
      <x:c r="D15" s="36" t="n">
        <x:f>WORKDAY(C15+G15*(INT(($B$3-C15)/G15)+1)-1,1)</x:f>
        <x:v>46225</x:v>
      </x:c>
      <x:c r="E15" s="35" t="str">
        <x:v>约每3天（9次/月）</x:v>
      </x:c>
      <x:c r="F15" s="37" t="n">
        <x:v>9</x:v>
      </x:c>
      <x:c r="G15" s="37" t="n">
        <x:v>3</x:v>
      </x:c>
      <x:c r="H15" s="37" t="n">
        <x:v>3</x:v>
      </x:c>
      <x:c r="I15" s="37" t="str">
        <x:v>周一</x:v>
      </x:c>
      <x:c r="J15" s="37" t="n">
        <x:v>10</x:v>
      </x:c>
      <x:c r="K15" s="37" t="str">
        <x:v>中</x:v>
      </x:c>
      <x:c r="L15" s="35" t="str">
        <x:v>按页面 Items/Month 换算；非官方日程</x:v>
      </x:c>
    </x:row>
    <x:row r="16" ht="32" customHeight="1">
      <x:c r="A16" s="35" t="str">
        <x:v>Retail Radar</x:v>
      </x:c>
      <x:c r="B16" s="35" t="str">
        <x:v>Publication</x:v>
      </x:c>
      <x:c r="C16" s="36" t="n">
        <x:v>46219</x:v>
      </x:c>
      <x:c r="D16" s="36" t="n">
        <x:f>WORKDAY(C16+G16*(INT(($B$3-C16)/G16)+1)-1,1)</x:f>
        <x:v>46226</x:v>
      </x:c>
      <x:c r="E16" s="35" t="str">
        <x:v>每周</x:v>
      </x:c>
      <x:c r="F16" s="37" t="n">
        <x:v>4</x:v>
      </x:c>
      <x:c r="G16" s="37" t="n">
        <x:v>7</x:v>
      </x:c>
      <x:c r="H16" s="37" t="n">
        <x:v>7</x:v>
      </x:c>
      <x:c r="I16" s="37" t="str">
        <x:v>周四</x:v>
      </x:c>
      <x:c r="J16" s="37" t="n">
        <x:v>10</x:v>
      </x:c>
      <x:c r="K16" s="37" t="str">
        <x:v>高</x:v>
      </x:c>
      <x:c r="L16" s="35" t="str">
        <x:v>按最近样本的周度节奏推算；非官方日程</x:v>
      </x:c>
    </x:row>
    <x:row r="17" ht="32" customHeight="1">
      <x:c r="A17" s="35" t="str">
        <x:v>US Tactical Derivatives Strategy</x:v>
      </x:c>
      <x:c r="B17" s="35" t="str">
        <x:v>Publication</x:v>
      </x:c>
      <x:c r="C17" s="36" t="n">
        <x:v>46216</x:v>
      </x:c>
      <x:c r="D17" s="36" t="n">
        <x:f>WORKDAY(C17+G17*(INT(($B$3-C17)/G17)+1)-1,1)</x:f>
        <x:v>46231</x:v>
      </x:c>
      <x:c r="E17" s="35" t="str">
        <x:v>约每半月</x:v>
      </x:c>
      <x:c r="F17" s="37" t="n">
        <x:v>2</x:v>
      </x:c>
      <x:c r="G17" s="37" t="n">
        <x:v>15</x:v>
      </x:c>
      <x:c r="H17" s="37" t="n">
        <x:v>21</x:v>
      </x:c>
      <x:c r="I17" s="37" t="str">
        <x:v>周一</x:v>
      </x:c>
      <x:c r="J17" s="37" t="n">
        <x:v>10</x:v>
      </x:c>
      <x:c r="K17" s="37" t="str">
        <x:v>中</x:v>
      </x:c>
      <x:c r="L17" s="35" t="str">
        <x:v>按页面 Items/Month 换算并滚动至基准日之后；非官方日程</x:v>
      </x:c>
    </x:row>
    <x:row r="18" ht="32" customHeight="1">
      <x:c r="A18" s="35" t="str">
        <x:v>US Weekly Prospects</x:v>
      </x:c>
      <x:c r="B18" s="35" t="str">
        <x:v>Publication</x:v>
      </x:c>
      <x:c r="C18" s="36" t="n">
        <x:v>46220</x:v>
      </x:c>
      <x:c r="D18" s="36" t="n">
        <x:f>WORKDAY(C18+G18*(INT(($B$3-C18)/G18)+1)-1,1)</x:f>
        <x:v>46227</x:v>
      </x:c>
      <x:c r="E18" s="35" t="str">
        <x:v>每周</x:v>
      </x:c>
      <x:c r="F18" s="37" t="n">
        <x:v>4</x:v>
      </x:c>
      <x:c r="G18" s="37" t="n">
        <x:v>7</x:v>
      </x:c>
      <x:c r="H18" s="37" t="n">
        <x:v>7</x:v>
      </x:c>
      <x:c r="I18" s="37" t="str">
        <x:v>周五</x:v>
      </x:c>
      <x:c r="J18" s="37" t="n">
        <x:v>10</x:v>
      </x:c>
      <x:c r="K18" s="37" t="str">
        <x:v>高</x:v>
      </x:c>
      <x:c r="L18" s="35" t="str">
        <x:v>按最近样本的周度节奏推算；非官方日程</x:v>
      </x:c>
    </x:row>
  </x:sheetData>
  <x:mergeCells>
    <x:mergeCell ref="A1:L1"/>
    <x:mergeCell ref="A2:L2"/>
  </x:mergeCells>
  <x:conditionalFormatting sqref="D8:D18">
    <x:cfRule type="expression" dxfId="0" priority="1">
      <x:formula>AND($D8&gt;$B$3,$D8&lt;=$B$3+7)</x:formula>
    </x:cfRule>
  </x:conditionalFormatting>
  <x:conditionalFormatting sqref="K8:K18">
    <x:cfRule type="containsText" dxfId="1" priority="2" operator="containsText" text="高"/>
    <x:cfRule type="containsText" dxfId="2" priority="3" operator="containsText" text="中"/>
    <x:cfRule type="containsText" dxfId="3" priority="4" operator="containsText" text="低"/>
  </x:conditionalFormatting>
  <x:pageMargins left="0.7" right="0.7" top="0.75" bottom="0.75" header="0.3" footer="0.3"/>
  <x:tableParts count="1">
    <x:tablePart xmlns:r="http://schemas.openxmlformats.org/officeDocument/2006/relationships" r:id="R508e0339033840f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42" hidden="0" customWidth="1"/>
    <x:col min="4" max="4" width="13" hidden="0" customWidth="1"/>
    <x:col min="5" max="5" width="24" hidden="0" customWidth="1"/>
    <x:col min="6" max="6" width="10" hidden="0" customWidth="1"/>
    <x:col min="7" max="7" width="45" hidden="0" customWidth="1"/>
  </x:cols>
  <x:sheetData>
    <x:row r="1" ht="34" customHeight="1">
      <x:c r="A1" s="2" t="str">
        <x:v>未来一次更新日历</x:v>
      </x:c>
      <x:c r="B1" s="2"/>
      <x:c r="C1" s="2"/>
      <x:c r="D1" s="2"/>
      <x:c r="E1" s="2"/>
      <x:c r="F1" s="2"/>
      <x:c r="G1" s="2"/>
    </x:row>
    <x:row r="2">
      <x:c r="A2" s="38" t="str">
        <x:v>基准日期 2026-07-20；按预计日期排序。</x:v>
      </x:c>
      <x:c r="B2" s="38"/>
      <x:c r="C2" s="38"/>
      <x:c r="D2" s="38"/>
      <x:c r="E2" s="38"/>
      <x:c r="F2" s="38"/>
      <x:c r="G2" s="38"/>
    </x:row>
    <x:row r="4">
      <x:c r="A4" s="42" t="str">
        <x:v>下一次预计更新日期</x:v>
      </x:c>
      <x:c r="B4" s="42" t="str">
        <x:v>星期</x:v>
      </x:c>
      <x:c r="C4" s="42" t="str">
        <x:v>报告类型</x:v>
      </x:c>
      <x:c r="D4" s="42" t="str">
        <x:v>类别</x:v>
      </x:c>
      <x:c r="E4" s="42" t="str">
        <x:v>推断更新频率</x:v>
      </x:c>
      <x:c r="F4" s="42" t="str">
        <x:v>置信度</x:v>
      </x:c>
      <x:c r="G4" s="42" t="str">
        <x:v>说明</x:v>
      </x:c>
    </x:row>
    <x:row r="5" ht="30" customHeight="1">
      <x:c r="A5" s="43" t="n">
        <x:v>46224</x:v>
      </x:c>
      <x:c r="B5" s="44" t="str">
        <x:v>周二</x:v>
      </x:c>
      <x:c r="C5" s="44" t="str">
        <x:v>Joseph Cardoso</x:v>
      </x:c>
      <x:c r="D5" s="44" t="str">
        <x:v>Analyst</x:v>
      </x:c>
      <x:c r="E5" s="44" t="str">
        <x:v>高频（约40次/月）</x:v>
      </x:c>
      <x:c r="F5" s="44" t="str">
        <x:v>中</x:v>
      </x:c>
      <x:c r="G5" s="44" t="str">
        <x:v>按下一个工作日推算；非官方日程</x:v>
      </x:c>
    </x:row>
    <x:row r="6" ht="30" customHeight="1">
      <x:c r="A6" s="43" t="n">
        <x:v>46225</x:v>
      </x:c>
      <x:c r="B6" s="44" t="str">
        <x:v>周三</x:v>
      </x:c>
      <x:c r="C6" s="44" t="str">
        <x:v>Japan Equity Strategy (English)</x:v>
      </x:c>
      <x:c r="D6" s="44" t="str">
        <x:v>Publication</x:v>
      </x:c>
      <x:c r="E6" s="44" t="str">
        <x:v>约每3天（9次/月）</x:v>
      </x:c>
      <x:c r="F6" s="44" t="str">
        <x:v>中</x:v>
      </x:c>
      <x:c r="G6" s="44" t="str">
        <x:v>按页面 Items/Month 换算；非官方日程</x:v>
      </x:c>
    </x:row>
    <x:row r="7" ht="30" customHeight="1">
      <x:c r="A7" s="43" t="n">
        <x:v>46226</x:v>
      </x:c>
      <x:c r="B7" s="44" t="str">
        <x:v>周四</x:v>
      </x:c>
      <x:c r="C7" s="44" t="str">
        <x:v>Retail Radar</x:v>
      </x:c>
      <x:c r="D7" s="44" t="str">
        <x:v>Publication</x:v>
      </x:c>
      <x:c r="E7" s="44" t="str">
        <x:v>每周</x:v>
      </x:c>
      <x:c r="F7" s="44" t="str">
        <x:v>高</x:v>
      </x:c>
      <x:c r="G7" s="44" t="str">
        <x:v>按最近样本的周度节奏推算；非官方日程</x:v>
      </x:c>
    </x:row>
    <x:row r="8" ht="30" customHeight="1">
      <x:c r="A8" s="43" t="n">
        <x:v>46227</x:v>
      </x:c>
      <x:c r="B8" s="44" t="str">
        <x:v>周五</x:v>
      </x:c>
      <x:c r="C8" s="44" t="str">
        <x:v>Flows &amp; Liquidity</x:v>
      </x:c>
      <x:c r="D8" s="44" t="str">
        <x:v>Publication</x:v>
      </x:c>
      <x:c r="E8" s="44" t="str">
        <x:v>约每月</x:v>
      </x:c>
      <x:c r="F8" s="44" t="str">
        <x:v>低</x:v>
      </x:c>
      <x:c r="G8" s="44" t="str">
        <x:v>历史间隔波动较大；仅作提醒，非官方日程</x:v>
      </x:c>
    </x:row>
    <x:row r="9" ht="30" customHeight="1">
      <x:c r="A9" s="43" t="n">
        <x:v>46227</x:v>
      </x:c>
      <x:c r="B9" s="44" t="str">
        <x:v>周五</x:v>
      </x:c>
      <x:c r="C9" s="44" t="str">
        <x:v>US Weekly Prospects</x:v>
      </x:c>
      <x:c r="D9" s="44" t="str">
        <x:v>Publication</x:v>
      </x:c>
      <x:c r="E9" s="44" t="str">
        <x:v>每周</x:v>
      </x:c>
      <x:c r="F9" s="44" t="str">
        <x:v>高</x:v>
      </x:c>
      <x:c r="G9" s="44" t="str">
        <x:v>按最近样本的周度节奏推算；非官方日程</x:v>
      </x:c>
    </x:row>
    <x:row r="10" ht="30" customHeight="1">
      <x:c r="A10" s="43" t="n">
        <x:v>46230</x:v>
      </x:c>
      <x:c r="B10" s="44" t="str">
        <x:v>周一</x:v>
      </x:c>
      <x:c r="C10" s="44" t="str">
        <x:v>Global Equity Strategy Weekly &amp; Monthly Chartbook</x:v>
      </x:c>
      <x:c r="D10" s="44" t="str">
        <x:v>Publication</x:v>
      </x:c>
      <x:c r="E10" s="44" t="str">
        <x:v>每周</x:v>
      </x:c>
      <x:c r="F10" s="44" t="str">
        <x:v>高</x:v>
      </x:c>
      <x:c r="G10" s="44" t="str">
        <x:v>按最近样本的周度节奏推算；非官方日程</x:v>
      </x:c>
    </x:row>
    <x:row r="11" ht="30" customHeight="1">
      <x:c r="A11" s="43" t="n">
        <x:v>46230</x:v>
      </x:c>
      <x:c r="B11" s="44" t="str">
        <x:v>周一</x:v>
      </x:c>
      <x:c r="C11" s="44" t="str">
        <x:v>Global index volatility chartbook</x:v>
      </x:c>
      <x:c r="D11" s="44" t="str">
        <x:v>Publication</x:v>
      </x:c>
      <x:c r="E11" s="44" t="str">
        <x:v>每周</x:v>
      </x:c>
      <x:c r="F11" s="44" t="str">
        <x:v>高</x:v>
      </x:c>
      <x:c r="G11" s="44" t="str">
        <x:v>按最近样本的周度节奏推算；非官方日程</x:v>
      </x:c>
    </x:row>
    <x:row r="12" ht="30" customHeight="1">
      <x:c r="A12" s="43" t="n">
        <x:v>46231</x:v>
      </x:c>
      <x:c r="B12" s="44" t="str">
        <x:v>周二</x:v>
      </x:c>
      <x:c r="C12" s="44" t="str">
        <x:v>US Tactical Derivatives Strategy</x:v>
      </x:c>
      <x:c r="D12" s="44" t="str">
        <x:v>Publication</x:v>
      </x:c>
      <x:c r="E12" s="44" t="str">
        <x:v>约每半月</x:v>
      </x:c>
      <x:c r="F12" s="44" t="str">
        <x:v>中</x:v>
      </x:c>
      <x:c r="G12" s="44" t="str">
        <x:v>按页面 Items/Month 换算并滚动至基准日之后；非官方日程</x:v>
      </x:c>
    </x:row>
    <x:row r="13" ht="30" customHeight="1">
      <x:c r="A13" s="43" t="n">
        <x:v>46248</x:v>
      </x:c>
      <x:c r="B13" s="44" t="str">
        <x:v>周五</x:v>
      </x:c>
      <x:c r="C13" s="44" t="str">
        <x:v>China Equity Strategy</x:v>
      </x:c>
      <x:c r="D13" s="44" t="str">
        <x:v>Publication</x:v>
      </x:c>
      <x:c r="E13" s="44" t="str">
        <x:v>约每月</x:v>
      </x:c>
      <x:c r="F13" s="44" t="str">
        <x:v>低</x:v>
      </x:c>
      <x:c r="G13" s="44" t="str">
        <x:v>历史间隔波动较大；仅作提醒，非官方日程</x:v>
      </x:c>
    </x:row>
    <x:row r="14" ht="30" customHeight="1">
      <x:c r="A14" s="43" t="n">
        <x:v>46248</x:v>
      </x:c>
      <x:c r="B14" s="44" t="str">
        <x:v>周五</x:v>
      </x:c>
      <x:c r="C14" s="44" t="str">
        <x:v>Equity Volatility Strategy Dispersion Chartbook</x:v>
      </x:c>
      <x:c r="D14" s="44" t="str">
        <x:v>Publication</x:v>
      </x:c>
      <x:c r="E14" s="44" t="str">
        <x:v>约每月</x:v>
      </x:c>
      <x:c r="F14" s="44" t="str">
        <x:v>中</x:v>
      </x:c>
      <x:c r="G14" s="44" t="str">
        <x:v>按页面 Items/Month 换算并滚动至基准日之后；非官方日程</x:v>
      </x:c>
    </x:row>
    <x:row r="15" ht="30" customHeight="1">
      <x:c r="A15" s="43" t="n">
        <x:v>46253</x:v>
      </x:c>
      <x:c r="B15" s="44" t="str">
        <x:v>周三</x:v>
      </x:c>
      <x:c r="C15" s="44" t="str">
        <x:v>Global Equity Strategy</x:v>
      </x:c>
      <x:c r="D15" s="44" t="str">
        <x:v>Publication</x:v>
      </x:c>
      <x:c r="E15" s="44" t="str">
        <x:v>约每月</x:v>
      </x:c>
      <x:c r="F15" s="44" t="str">
        <x:v>中</x:v>
      </x:c>
      <x:c r="G15" s="44" t="str">
        <x:v>按页面 Items/Month 换算并滚动至基准日之后；非官方日程</x:v>
      </x:c>
    </x:row>
  </x:sheetData>
  <x:mergeCells>
    <x:mergeCell ref="A1:G1"/>
    <x:mergeCell ref="A2:G2"/>
  </x:mergeCells>
  <x:conditionalFormatting sqref="F5:F15">
    <x:cfRule type="containsText" dxfId="4" priority="1" operator="containsText" text="高"/>
    <x:cfRule type="containsText" dxfId="5" priority="2" operator="containsText" text="中"/>
    <x:cfRule type="containsText" dxfId="6" priority="3" operator="containsText" text="低"/>
  </x:conditionalFormatting>
  <x:pageMargins left="0.7" right="0.7" top="0.75" bottom="0.75" header="0.3" footer="0.3"/>
  <x:tableParts count="1">
    <x:tablePart xmlns:r="http://schemas.openxmlformats.org/officeDocument/2006/relationships" r:id="Rbda7ba2c688f4f0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3" hidden="0" customWidth="1"/>
    <x:col min="3" max="3" width="14" hidden="0" customWidth="1"/>
    <x:col min="4" max="4" width="28" hidden="0" customWidth="1"/>
    <x:col min="5" max="5" width="70" hidden="0" customWidth="1"/>
    <x:col min="6" max="6" width="18" hidden="0" customWidth="1"/>
    <x:col min="7" max="7" width="55" hidden="0" customWidth="1"/>
  </x:cols>
  <x:sheetData>
    <x:row r="1" ht="34" customHeight="1">
      <x:c r="A1" s="45" t="str">
        <x:v>历史发布日期样本（100条）</x:v>
      </x:c>
      <x:c r="B1" s="45"/>
      <x:c r="C1" s="45"/>
      <x:c r="D1" s="45"/>
      <x:c r="E1" s="45"/>
      <x:c r="F1" s="45"/>
      <x:c r="G1" s="45"/>
    </x:row>
    <x:row r="3">
      <x:c r="A3" s="42" t="str">
        <x:v>订阅栏目</x:v>
      </x:c>
      <x:c r="B3" s="42" t="str">
        <x:v>类别</x:v>
      </x:c>
      <x:c r="C3" s="42" t="str">
        <x:v>发布日期</x:v>
      </x:c>
      <x:c r="D3" s="42" t="str">
        <x:v>报告类型（标题首段）</x:v>
      </x:c>
      <x:c r="E3" s="42" t="str">
        <x:v>完整标题</x:v>
      </x:c>
      <x:c r="F3" s="42" t="str">
        <x:v>文档ID</x:v>
      </x:c>
      <x:c r="G3" s="42" t="str">
        <x:v>来源链接</x:v>
      </x:c>
    </x:row>
    <x:row r="4" ht="30" customHeight="1">
      <x:c r="A4" s="44" t="str">
        <x:v>Global Equity Strategy</x:v>
      </x:c>
      <x:c r="B4" s="44" t="str">
        <x:v>Publication</x:v>
      </x:c>
      <x:c r="C4" s="43" t="n">
        <x:v>46223</x:v>
      </x:c>
      <x:c r="D4" s="44" t="str">
        <x:v>US Equity Strategy</x:v>
      </x:c>
      <x:c r="E4" s="44" t="str">
        <x:v>US Equity Strategy: Hyperscalers vs. AI Hardware, AI Capex &amp; Monetization, Momentum Unwind, 2Q Earnings</x:v>
      </x:c>
      <x:c r="F4" s="44" t="str">
        <x:v>GPS-5366824-0</x:v>
      </x:c>
      <x:c r="G4" s="44" t="str">
        <x:v>https://markets.jpmorgan.com/research/ArticleServlet?doc=GPS-5366824-0&amp;referrerPortlet=analyst_page</x:v>
      </x:c>
    </x:row>
    <x:row r="5" ht="30" customHeight="1">
      <x:c r="A5" s="44" t="str">
        <x:v>Global Equity Strategy Weekly &amp; Monthly Chartbook</x:v>
      </x:c>
      <x:c r="B5" s="44" t="str">
        <x:v>Publication</x:v>
      </x:c>
      <x:c r="C5" s="43" t="n">
        <x:v>46223</x:v>
      </x:c>
      <x:c r="D5" s="44" t="str">
        <x:v>Equity Strategy</x:v>
      </x:c>
      <x:c r="E5" s="44" t="str">
        <x:v>Equity Strategy: The maturing stage of AI/momentum unwind; Inflation rates rolling; Earnings to offer a support</x:v>
      </x:c>
      <x:c r="F5" s="44" t="str">
        <x:v>GPS-5368107-0</x:v>
      </x:c>
      <x:c r="G5" s="44" t="str">
        <x:v>https://markets.jpmorgan.com/research/ArticleServlet?doc=GPS-5368107-0&amp;referrerPortlet=analyst_page</x:v>
      </x:c>
    </x:row>
    <x:row r="6" ht="30" customHeight="1">
      <x:c r="A6" s="44" t="str">
        <x:v>US Weekly Prospects</x:v>
      </x:c>
      <x:c r="B6" s="44" t="str">
        <x:v>Publication</x:v>
      </x:c>
      <x:c r="C6" s="43" t="n">
        <x:v>46220</x:v>
      </x:c>
      <x:c r="D6" s="44" t="str">
        <x:v>US Weekly Prospects</x:v>
      </x:c>
      <x:c r="E6" s="44" t="str">
        <x:v>US Weekly Prospects</x:v>
      </x:c>
      <x:c r="F6" s="44" t="str">
        <x:v>GPS-5358816-0</x:v>
      </x:c>
      <x:c r="G6" s="44" t="str">
        <x:v>https://markets.jpmorgan.com/research/ArticleServlet?doc=GPS-5358816-0&amp;referrerPortlet=analyst_page</x:v>
      </x:c>
    </x:row>
    <x:row r="7" ht="30" customHeight="1">
      <x:c r="A7" s="44" t="str">
        <x:v>Joseph Cardoso</x:v>
      </x:c>
      <x:c r="B7" s="44" t="str">
        <x:v>Analyst</x:v>
      </x:c>
      <x:c r="C7" s="43" t="n">
        <x:v>46219</x:v>
      </x:c>
      <x:c r="D7" s="44" t="str">
        <x:v>Hardware &amp; Networking</x:v>
      </x:c>
      <x:c r="E7" s="44" t="str">
        <x:v>Hardware &amp; Networking: C2Q26 Preview: Fundamentals Progress Even as Valuations Retreat; Favor Optical, EMS &amp; Hardware; Place GLW on -VE Catalyst Watch</x:v>
      </x:c>
      <x:c r="F7" s="44" t="str">
        <x:v>GPS-5367652-0</x:v>
      </x:c>
      <x:c r="G7" s="44" t="str">
        <x:v>https://markets.jpmorgan.com/research/ArticleServlet?doc=GPS-5367652-0&amp;referrerPortlet=analyst_page</x:v>
      </x:c>
    </x:row>
    <x:row r="8" ht="30" customHeight="1">
      <x:c r="A8" s="44" t="str">
        <x:v>Joseph Cardoso</x:v>
      </x:c>
      <x:c r="B8" s="44" t="str">
        <x:v>Analyst</x:v>
      </x:c>
      <x:c r="C8" s="43" t="n">
        <x:v>46219</x:v>
      </x:c>
      <x:c r="D8" s="44" t="str">
        <x:v>Hardware &amp; Networking</x:v>
      </x:c>
      <x:c r="E8" s="44" t="str">
        <x:v>Hardware &amp; Networking: Channel Talk: Takeaways from a Discussion with a Large U.S. VAR on Enterprise Spending and OEM Trends</x:v>
      </x:c>
      <x:c r="F8" s="44" t="str">
        <x:v>GPS-5366980-0</x:v>
      </x:c>
      <x:c r="G8" s="44" t="str">
        <x:v>https://markets.jpmorgan.com/research/ArticleServlet?doc=GPS-5366980-0&amp;referrerPortlet=analyst_page</x:v>
      </x:c>
    </x:row>
    <x:row r="9" ht="30" customHeight="1">
      <x:c r="A9" s="44" t="str">
        <x:v>Joseph Cardoso</x:v>
      </x:c>
      <x:c r="B9" s="44" t="str">
        <x:v>Analyst</x:v>
      </x:c>
      <x:c r="C9" s="43" t="n">
        <x:v>46219</x:v>
      </x:c>
      <x:c r="D9" s="44" t="str">
        <x:v>Hardware &amp; Networking</x:v>
      </x:c>
      <x:c r="E9" s="44" t="str">
        <x:v>Hardware &amp; Networking: Pre-Quiet Period Catch-up Takeaways (CSCO, CRDO, DELL, P, HPE, HPQ, NTAP, NTNX, SMCI)</x:v>
      </x:c>
      <x:c r="F9" s="44" t="str">
        <x:v>GPS-5363421-0</x:v>
      </x:c>
      <x:c r="G9" s="44" t="str">
        <x:v>https://markets.jpmorgan.com/research/ArticleServlet?doc=GPS-5363421-0&amp;referrerPortlet=analyst_page</x:v>
      </x:c>
    </x:row>
    <x:row r="10" ht="30" customHeight="1">
      <x:c r="A10" s="44" t="str">
        <x:v>Retail Radar</x:v>
      </x:c>
      <x:c r="B10" s="44" t="str">
        <x:v>Publication</x:v>
      </x:c>
      <x:c r="C10" s="43" t="n">
        <x:v>46219</x:v>
      </x:c>
      <x:c r="D10" s="44" t="str">
        <x:v>Retail Radar</x:v>
      </x:c>
      <x:c r="E10" s="44" t="str">
        <x:v>Retail Radar: Jul 15 — Trading Earnings as Flows Cool</x:v>
      </x:c>
      <x:c r="F10" s="44" t="str">
        <x:v>GPS-5363852-0</x:v>
      </x:c>
      <x:c r="G10" s="44" t="str">
        <x:v>https://markets.jpmorgan.com/research/ArticleServlet?doc=GPS-5363852-0&amp;referrerPortlet=analyst_page</x:v>
      </x:c>
    </x:row>
    <x:row r="11" ht="30" customHeight="1">
      <x:c r="A11" s="44" t="str">
        <x:v>China Equity Strategy</x:v>
      </x:c>
      <x:c r="B11" s="44" t="str">
        <x:v>Publication</x:v>
      </x:c>
      <x:c r="C11" s="43" t="n">
        <x:v>46218</x:v>
      </x:c>
      <x:c r="D11" s="44" t="str">
        <x:v>China Equity Strategy</x:v>
      </x:c>
      <x:c r="E11" s="44" t="str">
        <x:v>China Equity Strategy: The AI Theme: Deleveraging as a Healthy Reset</x:v>
      </x:c>
      <x:c r="F11" s="44" t="str">
        <x:v>GPS-5369353-0</x:v>
      </x:c>
      <x:c r="G11" s="44" t="str">
        <x:v>https://markets.jpmorgan.com/research/ArticleServlet?doc=GPS-5369353-0&amp;referrerPortlet=analyst_page</x:v>
      </x:c>
    </x:row>
    <x:row r="12" ht="30" customHeight="1">
      <x:c r="A12" s="44" t="str">
        <x:v>Joseph Cardoso</x:v>
      </x:c>
      <x:c r="B12" s="44" t="str">
        <x:v>Analyst</x:v>
      </x:c>
      <x:c r="C12" s="43" t="n">
        <x:v>46217</x:v>
      </x:c>
      <x:c r="D12" s="44" t="str">
        <x:v>Hardware &amp; Networking</x:v>
      </x:c>
      <x:c r="E12" s="44" t="str">
        <x:v>Hardware &amp; Networking: Smartphone Shipment Tracker: Higher than Seasonal Shipment Decline in 2Q26; Sharp Moderation Implied for 2H26</x:v>
      </x:c>
      <x:c r="F12" s="44" t="str">
        <x:v>GPS-5367026-0</x:v>
      </x:c>
      <x:c r="G12" s="44" t="str">
        <x:v>https://markets.jpmorgan.com/research/ArticleServlet?doc=GPS-5367026-0&amp;referrerPortlet=analyst_page</x:v>
      </x:c>
    </x:row>
    <x:row r="13" ht="30" customHeight="1">
      <x:c r="A13" s="44" t="str">
        <x:v>Joseph Cardoso</x:v>
      </x:c>
      <x:c r="B13" s="44" t="str">
        <x:v>Analyst</x:v>
      </x:c>
      <x:c r="C13" s="43" t="n">
        <x:v>46217</x:v>
      </x:c>
      <x:c r="D13" s="44" t="str">
        <x:v>PCs and Servers</x:v>
      </x:c>
      <x:c r="E13" s="44" t="str">
        <x:v>PCs and Servers: Inference extends the general server upcycle, PCs still fragile</x:v>
      </x:c>
      <x:c r="F13" s="44" t="str">
        <x:v>GPS-5358006-0</x:v>
      </x:c>
      <x:c r="G13" s="44" t="str">
        <x:v>https://markets.jpmorgan.com/research/ArticleServlet?doc=GPS-5358006-0&amp;referrerPortlet=analyst_page</x:v>
      </x:c>
    </x:row>
    <x:row r="14" ht="30" customHeight="1">
      <x:c r="A14" s="44" t="str">
        <x:v>Global Equity Strategy Weekly &amp; Monthly Chartbook</x:v>
      </x:c>
      <x:c r="B14" s="44" t="str">
        <x:v>Publication</x:v>
      </x:c>
      <x:c r="C14" s="43" t="n">
        <x:v>46216</x:v>
      </x:c>
      <x:c r="D14" s="44" t="str">
        <x:v>Equity Strategy</x:v>
      </x:c>
      <x:c r="E14" s="44" t="str">
        <x:v>Equity Strategy: Q2 Earnings Preview - robust corporate profits to offer support to the market</x:v>
      </x:c>
      <x:c r="F14" s="44" t="str">
        <x:v>GPS-5361340-0</x:v>
      </x:c>
      <x:c r="G14" s="44" t="str">
        <x:v>https://markets.jpmorgan.com/research/ArticleServlet?doc=GPS-5361340-0&amp;referrerPortlet=analyst_page</x:v>
      </x:c>
    </x:row>
    <x:row r="15" ht="30" customHeight="1">
      <x:c r="A15" s="44" t="str">
        <x:v>Global index volatility chartbook</x:v>
      </x:c>
      <x:c r="B15" s="44" t="str">
        <x:v>Publication</x:v>
      </x:c>
      <x:c r="C15" s="43" t="n">
        <x:v>46216</x:v>
      </x:c>
      <x:c r="D15" s="44" t="str">
        <x:v>Global Index Volatility Chartbook</x:v>
      </x:c>
      <x:c r="E15" s="44" t="str">
        <x:v>Global Index Volatility Chartbook: Equity Volatility Compresses as Oil and Rates Reprice Risk</x:v>
      </x:c>
      <x:c r="F15" s="44" t="str">
        <x:v>GPS-5365875-0</x:v>
      </x:c>
      <x:c r="G15" s="44" t="str">
        <x:v>https://markets.jpmorgan.com/research/ArticleServlet?doc=GPS-5365875-0&amp;referrerPortlet=analyst_page</x:v>
      </x:c>
    </x:row>
    <x:row r="16" ht="30" customHeight="1">
      <x:c r="A16" s="44" t="str">
        <x:v>Japan Equity Strategy (English)</x:v>
      </x:c>
      <x:c r="B16" s="44" t="str">
        <x:v>Publication</x:v>
      </x:c>
      <x:c r="C16" s="43" t="n">
        <x:v>46216</x:v>
      </x:c>
      <x:c r="D16" s="44" t="str">
        <x:v>Japan Equity Strategy</x:v>
      </x:c>
      <x:c r="E16" s="44" t="str">
        <x:v>Japan Equity Strategy: Weekly Update and Dashboard (Jul 13)</x:v>
      </x:c>
      <x:c r="F16" s="44" t="str">
        <x:v>GPS-5365832-0</x:v>
      </x:c>
      <x:c r="G16" s="44" t="str">
        <x:v>https://markets.jpmorgan.com/research/ArticleServlet?doc=GPS-5365832-0&amp;referrerPortlet=analyst_page</x:v>
      </x:c>
    </x:row>
    <x:row r="17" ht="30" customHeight="1">
      <x:c r="A17" s="44" t="str">
        <x:v>Japan Equity Strategy (English)</x:v>
      </x:c>
      <x:c r="B17" s="44" t="str">
        <x:v>Publication</x:v>
      </x:c>
      <x:c r="C17" s="43" t="n">
        <x:v>46216</x:v>
      </x:c>
      <x:c r="D17" s="44" t="str">
        <x:v>Japan Equity Strategy</x:v>
      </x:c>
      <x:c r="E17" s="44" t="str">
        <x:v>Japan Equity Strategy: Apr-Jun earnings outlook: Mini rotation from AI-driven market, earnings increase in importance</x:v>
      </x:c>
      <x:c r="F17" s="44" t="str">
        <x:v>GPS-5356751-0</x:v>
      </x:c>
      <x:c r="G17" s="44" t="str">
        <x:v>https://markets.jpmorgan.com/research/ArticleServlet?doc=GPS-5356751-0&amp;referrerPortlet=analyst_page</x:v>
      </x:c>
    </x:row>
    <x:row r="18" ht="30" customHeight="1">
      <x:c r="A18" s="44" t="str">
        <x:v>Joseph Cardoso</x:v>
      </x:c>
      <x:c r="B18" s="44" t="str">
        <x:v>Analyst</x:v>
      </x:c>
      <x:c r="C18" s="43" t="n">
        <x:v>46216</x:v>
      </x:c>
      <x:c r="D18" s="44" t="str">
        <x:v>Hardware &amp; Networking</x:v>
      </x:c>
      <x:c r="E18" s="44" t="str">
        <x:v>Hardware &amp; Networking: Weekly Tech Talk: Meta News Blitz and Frontier Model Race to Ease DC Capex Fears; +VE Investor Sentiment Building for CLS, FN, LITE</x:v>
      </x:c>
      <x:c r="F18" s="44" t="str">
        <x:v>GPS-5364775-0</x:v>
      </x:c>
      <x:c r="G18" s="44" t="str">
        <x:v>https://markets.jpmorgan.com/research/ArticleServlet?doc=GPS-5364775-0&amp;referrerPortlet=analyst_page</x:v>
      </x:c>
    </x:row>
    <x:row r="19" ht="30" customHeight="1">
      <x:c r="A19" s="44" t="str">
        <x:v>US Tactical Derivatives Strategy</x:v>
      </x:c>
      <x:c r="B19" s="44" t="str">
        <x:v>Publication</x:v>
      </x:c>
      <x:c r="C19" s="43" t="n">
        <x:v>46216</x:v>
      </x:c>
      <x:c r="D19" s="44" t="str">
        <x:v>US Tactical Derivatives Strategy</x:v>
      </x:c>
      <x:c r="E19" s="44" t="str">
        <x:v>US Tactical Derivatives Strategy: WFC: All’s Well that ends Well(s)</x:v>
      </x:c>
      <x:c r="F19" s="44" t="str">
        <x:v>GPS-5363334-0</x:v>
      </x:c>
      <x:c r="G19" s="44" t="str">
        <x:v>https://markets.jpmorgan.com/research/ArticleServlet?doc=GPS-5363334-0&amp;referrerPortlet=analyst_page</x:v>
      </x:c>
    </x:row>
    <x:row r="20" ht="30" customHeight="1">
      <x:c r="A20" s="44" t="str">
        <x:v>Japan Equity Strategy (English)</x:v>
      </x:c>
      <x:c r="B20" s="44" t="str">
        <x:v>Publication</x:v>
      </x:c>
      <x:c r="C20" s="43" t="n">
        <x:v>46213</x:v>
      </x:c>
      <x:c r="D20" s="44" t="str">
        <x:v>Japan Equity Strategy</x:v>
      </x:c>
      <x:c r="E20" s="44" t="str">
        <x:v>Japan Equity Strategy: Transformative companies in the AI era: Searching for the next Recruit</x:v>
      </x:c>
      <x:c r="F20" s="44" t="str">
        <x:v>GPS-5364000-0</x:v>
      </x:c>
      <x:c r="G20" s="44" t="str">
        <x:v>https://markets.jpmorgan.com/research/ArticleServlet?doc=GPS-5364000-0&amp;referrerPortlet=analyst_page</x:v>
      </x:c>
    </x:row>
    <x:row r="21" ht="30" customHeight="1">
      <x:c r="A21" s="44" t="str">
        <x:v>Joseph Cardoso</x:v>
      </x:c>
      <x:c r="B21" s="44" t="str">
        <x:v>Analyst</x:v>
      </x:c>
      <x:c r="C21" s="43" t="n">
        <x:v>46213</x:v>
      </x:c>
      <x:c r="D21" s="44" t="str">
        <x:v>Garmin Ltd.</x:v>
      </x:c>
      <x:c r="E21" s="44" t="str">
        <x:v>Garmin Ltd.: Garmin Connect Tracker: Strong April and May Lift 2Q26 Downloads Above Historical Trends</x:v>
      </x:c>
      <x:c r="F21" s="44" t="str">
        <x:v>GPS-5361679-0</x:v>
      </x:c>
      <x:c r="G21" s="44" t="str">
        <x:v>https://markets.jpmorgan.com/research/ArticleServlet?doc=GPS-5361679-0&amp;referrerPortlet=analyst_page</x:v>
      </x:c>
    </x:row>
    <x:row r="22" ht="30" customHeight="1">
      <x:c r="A22" s="44" t="str">
        <x:v>US Weekly Prospects</x:v>
      </x:c>
      <x:c r="B22" s="44" t="str">
        <x:v>Publication</x:v>
      </x:c>
      <x:c r="C22" s="43" t="n">
        <x:v>46213</x:v>
      </x:c>
      <x:c r="D22" s="44" t="str">
        <x:v>US Weekly Prospects</x:v>
      </x:c>
      <x:c r="E22" s="44" t="str">
        <x:v>US Weekly Prospects</x:v>
      </x:c>
      <x:c r="F22" s="44" t="str">
        <x:v>GPS-5358813-0</x:v>
      </x:c>
      <x:c r="G22" s="44" t="str">
        <x:v>https://markets.jpmorgan.com/research/ArticleServlet?doc=GPS-5358813-0&amp;referrerPortlet=analyst_page</x:v>
      </x:c>
    </x:row>
    <x:row r="23" ht="30" customHeight="1">
      <x:c r="A23" s="44" t="str">
        <x:v>Joseph Cardoso</x:v>
      </x:c>
      <x:c r="B23" s="44" t="str">
        <x:v>Analyst</x:v>
      </x:c>
      <x:c r="C23" s="43" t="n">
        <x:v>46212</x:v>
      </x:c>
      <x:c r="D23" s="44" t="str">
        <x:v>Hardware &amp; Networking</x:v>
      </x:c>
      <x:c r="E23" s="44" t="str">
        <x:v>Hardware &amp; Networking: Industry Model Unpacked: Key Takeaways from Discussion with 650 Group</x:v>
      </x:c>
      <x:c r="F23" s="44" t="str">
        <x:v>GPS-5360657-0</x:v>
      </x:c>
      <x:c r="G23" s="44" t="str">
        <x:v>https://markets.jpmorgan.com/research/ArticleServlet?doc=GPS-5360657-0&amp;referrerPortlet=analyst_page</x:v>
      </x:c>
    </x:row>
    <x:row r="24" ht="30" customHeight="1">
      <x:c r="A24" s="44" t="str">
        <x:v>Retail Radar</x:v>
      </x:c>
      <x:c r="B24" s="44" t="str">
        <x:v>Publication</x:v>
      </x:c>
      <x:c r="C24" s="43" t="n">
        <x:v>46212</x:v>
      </x:c>
      <x:c r="D24" s="44" t="str">
        <x:v>Retail Radar</x:v>
      </x:c>
      <x:c r="E24" s="44" t="str">
        <x:v>Retail Radar: Jul 8 — Split-the-Dip as Momentum Cools</x:v>
      </x:c>
      <x:c r="F24" s="44" t="str">
        <x:v>GPS-5358525-0</x:v>
      </x:c>
      <x:c r="G24" s="44" t="str">
        <x:v>https://markets.jpmorgan.com/research/ArticleServlet?doc=GPS-5358525-0&amp;referrerPortlet=analyst_page</x:v>
      </x:c>
    </x:row>
    <x:row r="25" ht="30" customHeight="1">
      <x:c r="A25" s="44" t="str">
        <x:v>China Equity Strategy</x:v>
      </x:c>
      <x:c r="B25" s="44" t="str">
        <x:v>Publication</x:v>
      </x:c>
      <x:c r="C25" s="43" t="n">
        <x:v>46211</x:v>
      </x:c>
      <x:c r="D25" s="44" t="str">
        <x:v>Hong Kong Equity Strategy</x:v>
      </x:c>
      <x:c r="E25" s="44" t="str">
        <x:v>Hong Kong Equity Strategy: From sentiment drag to accumulation window</x:v>
      </x:c>
      <x:c r="F25" s="44" t="str">
        <x:v>GPS-5361123-0</x:v>
      </x:c>
      <x:c r="G25" s="44" t="str">
        <x:v>https://markets.jpmorgan.com/research/ArticleServlet?doc=GPS-5361123-0&amp;referrerPortlet=analyst_page</x:v>
      </x:c>
    </x:row>
    <x:row r="26" ht="30" customHeight="1">
      <x:c r="A26" s="44" t="str">
        <x:v>Joseph Cardoso</x:v>
      </x:c>
      <x:c r="B26" s="44" t="str">
        <x:v>Analyst</x:v>
      </x:c>
      <x:c r="C26" s="43" t="n">
        <x:v>46211</x:v>
      </x:c>
      <x:c r="D26" s="44" t="str">
        <x:v>Hardware &amp; Networking</x:v>
      </x:c>
      <x:c r="E26" s="44" t="str">
        <x:v>Hardware &amp; Networking: PC Market Tracker: PC Shipments Fall in 2Q26 with Sharper Slowdown Looming in 2H; Though Pricing Lifts Revenue Near Term</x:v>
      </x:c>
      <x:c r="F26" s="44" t="str">
        <x:v>GPS-5361725-0</x:v>
      </x:c>
      <x:c r="G26" s="44" t="str">
        <x:v>https://markets.jpmorgan.com/research/ArticleServlet?doc=GPS-5361725-0&amp;referrerPortlet=analyst_page</x:v>
      </x:c>
    </x:row>
    <x:row r="27" ht="30" customHeight="1">
      <x:c r="A27" s="44" t="str">
        <x:v>US Tactical Derivatives Strategy</x:v>
      </x:c>
      <x:c r="B27" s="44" t="str">
        <x:v>Publication</x:v>
      </x:c>
      <x:c r="C27" s="43" t="n">
        <x:v>46210</x:v>
      </x:c>
      <x:c r="D27" s="44" t="str">
        <x:v>US Tactical Derivatives Strategy</x:v>
      </x:c>
      <x:c r="E27" s="44" t="str">
        <x:v>US Tactical Derivatives Strategy: VST: The Contracts Are Coming</x:v>
      </x:c>
      <x:c r="F27" s="44" t="str">
        <x:v>GPS-5355929-0</x:v>
      </x:c>
      <x:c r="G27" s="44" t="str">
        <x:v>https://markets.jpmorgan.com/research/ArticleServlet?doc=GPS-5355929-0&amp;referrerPortlet=analyst_page</x:v>
      </x:c>
    </x:row>
    <x:row r="28" ht="30" customHeight="1">
      <x:c r="A28" s="44" t="str">
        <x:v>China Equity Strategy</x:v>
      </x:c>
      <x:c r="B28" s="44" t="str">
        <x:v>Publication</x:v>
      </x:c>
      <x:c r="C28" s="43" t="n">
        <x:v>46209</x:v>
      </x:c>
      <x:c r="D28" s="44" t="str">
        <x:v>China Equity Strategy</x:v>
      </x:c>
      <x:c r="E28" s="44" t="str">
        <x:v>China Equity Strategy: Takeaways from JPM AI expert call: From foundation models to industrial-scale adoption</x:v>
      </x:c>
      <x:c r="F28" s="44" t="str">
        <x:v>GPS-5358144-0</x:v>
      </x:c>
      <x:c r="G28" s="44" t="str">
        <x:v>https://markets.jpmorgan.com/research/ArticleServlet?doc=GPS-5358144-0&amp;referrerPortlet=analyst_page</x:v>
      </x:c>
    </x:row>
    <x:row r="29" ht="30" customHeight="1">
      <x:c r="A29" s="44" t="str">
        <x:v>Global index volatility chartbook</x:v>
      </x:c>
      <x:c r="B29" s="44" t="str">
        <x:v>Publication</x:v>
      </x:c>
      <x:c r="C29" s="43" t="n">
        <x:v>46209</x:v>
      </x:c>
      <x:c r="D29" s="44" t="str">
        <x:v>Global Index Volatility Chartbook</x:v>
      </x:c>
      <x:c r="E29" s="44" t="str">
        <x:v>Global Index Volatility Chartbook: Macro Tailwinds Ease Volatility, AI-Exposed Indices Still Screen Rich</x:v>
      </x:c>
      <x:c r="F29" s="44" t="str">
        <x:v>GPS-5357834-0</x:v>
      </x:c>
      <x:c r="G29" s="44" t="str">
        <x:v>https://markets.jpmorgan.com/research/ArticleServlet?doc=GPS-5357834-0&amp;referrerPortlet=analyst_page</x:v>
      </x:c>
    </x:row>
    <x:row r="30" ht="30" customHeight="1">
      <x:c r="A30" s="44" t="str">
        <x:v>Japan Equity Strategy (English)</x:v>
      </x:c>
      <x:c r="B30" s="44" t="str">
        <x:v>Publication</x:v>
      </x:c>
      <x:c r="C30" s="43" t="n">
        <x:v>46209</x:v>
      </x:c>
      <x:c r="D30" s="44" t="str">
        <x:v>Japan Equity Strategy</x:v>
      </x:c>
      <x:c r="E30" s="44" t="str">
        <x:v>Japan Equity Strategy: Weekly Update and Dashboard (Jul 6)</x:v>
      </x:c>
      <x:c r="F30" s="44" t="str">
        <x:v>GPS-5358042-0</x:v>
      </x:c>
      <x:c r="G30" s="44" t="str">
        <x:v>https://markets.jpmorgan.com/research/ArticleServlet?doc=GPS-5358042-0&amp;referrerPortlet=analyst_page</x:v>
      </x:c>
    </x:row>
    <x:row r="31" ht="30" customHeight="1">
      <x:c r="A31" s="44" t="str">
        <x:v>Joseph Cardoso</x:v>
      </x:c>
      <x:c r="B31" s="44" t="str">
        <x:v>Analyst</x:v>
      </x:c>
      <x:c r="C31" s="43" t="n">
        <x:v>46209</x:v>
      </x:c>
      <x:c r="D31" s="44" t="str">
        <x:v>Hardware &amp; Networking</x:v>
      </x:c>
      <x:c r="E31" s="44" t="str">
        <x:v>Hardware &amp; Networking: Weekly Tech Talk: AI Pullback on Overbuild Fears Contrasts Demand Signals; +VE Sentiment on APH, FLEX, LITE; -VE Sentiment on GLW, FN</x:v>
      </x:c>
      <x:c r="F31" s="44" t="str">
        <x:v>GPS-5356044-0</x:v>
      </x:c>
      <x:c r="G31" s="44" t="str">
        <x:v>https://markets.jpmorgan.com/research/ArticleServlet?doc=GPS-5356044-0&amp;referrerPortlet=analyst_page</x:v>
      </x:c>
    </x:row>
    <x:row r="32" ht="30" customHeight="1">
      <x:c r="A32" s="44" t="str">
        <x:v>China Equity Strategy</x:v>
      </x:c>
      <x:c r="B32" s="44" t="str">
        <x:v>Publication</x:v>
      </x:c>
      <x:c r="C32" s="43" t="n">
        <x:v>46206</x:v>
      </x:c>
      <x:c r="D32" s="44" t="str">
        <x:v>China Equity Strategy</x:v>
      </x:c>
      <x:c r="E32" s="44" t="str">
        <x:v>China Equity Strategy: Tactical rotation may continue in July, but AI could reassert leadership in August</x:v>
      </x:c>
      <x:c r="F32" s="44" t="str">
        <x:v>GPS-5355590-0</x:v>
      </x:c>
      <x:c r="G32" s="44" t="str">
        <x:v>https://markets.jpmorgan.com/research/ArticleServlet?doc=GPS-5355590-0&amp;referrerPortlet=analyst_page</x:v>
      </x:c>
    </x:row>
    <x:row r="33" ht="30" customHeight="1">
      <x:c r="A33" s="44" t="str">
        <x:v>Japan Equity Strategy (English)</x:v>
      </x:c>
      <x:c r="B33" s="44" t="str">
        <x:v>Publication</x:v>
      </x:c>
      <x:c r="C33" s="43" t="n">
        <x:v>46205</x:v>
      </x:c>
      <x:c r="D33" s="44" t="str">
        <x:v>Japan Equity Strategy</x:v>
      </x:c>
      <x:c r="E33" s="44" t="str">
        <x:v>Japan Equity Strategy: Monthly Wrap: Mini reversal of AI-driven market? — Decline in AI semiconductor stocks extends from US to Japan and Asia</x:v>
      </x:c>
      <x:c r="F33" s="44" t="str">
        <x:v>GPS-5350861-0</x:v>
      </x:c>
      <x:c r="G33" s="44" t="str">
        <x:v>https://markets.jpmorgan.com/research/ArticleServlet?doc=GPS-5350861-0&amp;referrerPortlet=analyst_page</x:v>
      </x:c>
    </x:row>
    <x:row r="34" ht="30" customHeight="1">
      <x:c r="A34" s="44" t="str">
        <x:v>Retail Radar</x:v>
      </x:c>
      <x:c r="B34" s="44" t="str">
        <x:v>Publication</x:v>
      </x:c>
      <x:c r="C34" s="43" t="n">
        <x:v>46205</x:v>
      </x:c>
      <x:c r="D34" s="44" t="str">
        <x:v>Retail Radar</x:v>
      </x:c>
      <x:c r="E34" s="44" t="str">
        <x:v>Retail Radar: Jul 1 - Same Playbook, Buying the Dip</x:v>
      </x:c>
      <x:c r="F34" s="44" t="str">
        <x:v>GPS-5348559-0</x:v>
      </x:c>
      <x:c r="G34" s="44" t="str">
        <x:v>https://markets.jpmorgan.com/research/ArticleServlet?doc=GPS-5348559-0&amp;referrerPortlet=analyst_page</x:v>
      </x:c>
    </x:row>
    <x:row r="35" ht="30" customHeight="1">
      <x:c r="A35" s="44" t="str">
        <x:v>US Weekly Prospects</x:v>
      </x:c>
      <x:c r="B35" s="44" t="str">
        <x:v>Publication</x:v>
      </x:c>
      <x:c r="C35" s="43" t="n">
        <x:v>46205</x:v>
      </x:c>
      <x:c r="D35" s="44" t="str">
        <x:v>US Weekly Prospects</x:v>
      </x:c>
      <x:c r="E35" s="44" t="str">
        <x:v>US Weekly Prospects</x:v>
      </x:c>
      <x:c r="F35" s="44" t="str">
        <x:v>GPS-5321942-0</x:v>
      </x:c>
      <x:c r="G35" s="44" t="str">
        <x:v>https://markets.jpmorgan.com/research/ArticleServlet?doc=GPS-5321942-0&amp;referrerPortlet=analyst_page</x:v>
      </x:c>
    </x:row>
    <x:row r="36" ht="30" customHeight="1">
      <x:c r="A36" s="44" t="str">
        <x:v>Japan Equity Strategy (English)</x:v>
      </x:c>
      <x:c r="B36" s="44" t="str">
        <x:v>Publication</x:v>
      </x:c>
      <x:c r="C36" s="43" t="n">
        <x:v>46204</x:v>
      </x:c>
      <x:c r="D36" s="44" t="str">
        <x:v>Japan Equity Strategy</x:v>
      </x:c>
      <x:c r="E36" s="44" t="str">
        <x:v>Japan Equity Strategy: BoJ June Tankan survey: Business conditions improved, capex plans revised upward</x:v>
      </x:c>
      <x:c r="F36" s="44" t="str">
        <x:v>GPS-5353711-0</x:v>
      </x:c>
      <x:c r="G36" s="44" t="str">
        <x:v>https://markets.jpmorgan.com/research/ArticleServlet?doc=GPS-5353711-0&amp;referrerPortlet=analyst_page</x:v>
      </x:c>
    </x:row>
    <x:row r="37" ht="30" customHeight="1">
      <x:c r="A37" s="44" t="str">
        <x:v>Global index volatility chartbook</x:v>
      </x:c>
      <x:c r="B37" s="44" t="str">
        <x:v>Publication</x:v>
      </x:c>
      <x:c r="C37" s="43" t="n">
        <x:v>46203</x:v>
      </x:c>
      <x:c r="D37" s="44" t="str">
        <x:v>Global Index Volatility Chartbook</x:v>
      </x:c>
      <x:c r="E37" s="44" t="str">
        <x:v>Global Index Volatility Chartbook: Tech-Led Volatility Repricing, Oil Risk Premium Fades</x:v>
      </x:c>
      <x:c r="F37" s="44" t="str">
        <x:v>GPS-5350797-0</x:v>
      </x:c>
      <x:c r="G37" s="44" t="str">
        <x:v>https://markets.jpmorgan.com/research/ArticleServlet?doc=GPS-5350797-0&amp;referrerPortlet=analyst_page</x:v>
      </x:c>
    </x:row>
    <x:row r="38" ht="30" customHeight="1">
      <x:c r="A38" s="44" t="str">
        <x:v>Japan Equity Strategy (English)</x:v>
      </x:c>
      <x:c r="B38" s="44" t="str">
        <x:v>Publication</x:v>
      </x:c>
      <x:c r="C38" s="43" t="n">
        <x:v>46203</x:v>
      </x:c>
      <x:c r="D38" s="44" t="str">
        <x:v>Japan Equity Strategy</x:v>
      </x:c>
      <x:c r="E38" s="44" t="str">
        <x:v>Japan Equity Strategy: 2H 2026 Outlook: Earnings-driven stock rally to continue: Investment strategy with rising interest rates vs AI growth</x:v>
      </x:c>
      <x:c r="F38" s="44" t="str">
        <x:v>GPS-5344924-0</x:v>
      </x:c>
      <x:c r="G38" s="44" t="str">
        <x:v>https://markets.jpmorgan.com/research/ArticleServlet?doc=GPS-5344924-0&amp;referrerPortlet=analyst_page</x:v>
      </x:c>
    </x:row>
    <x:row r="39" ht="30" customHeight="1">
      <x:c r="A39" s="44" t="str">
        <x:v>Global Equity Strategy Weekly &amp; Monthly Chartbook</x:v>
      </x:c>
      <x:c r="B39" s="44" t="str">
        <x:v>Publication</x:v>
      </x:c>
      <x:c r="C39" s="43" t="n">
        <x:v>46202</x:v>
      </x:c>
      <x:c r="D39" s="44" t="str">
        <x:v>Equity Strategy</x:v>
      </x:c>
      <x:c r="E39" s="44" t="str">
        <x:v>Equity Strategy: Look for further upside in Europe in 2H - updating our targets and positioning</x:v>
      </x:c>
      <x:c r="F39" s="44" t="str">
        <x:v>GPS-5345465-0</x:v>
      </x:c>
      <x:c r="G39" s="44" t="str">
        <x:v>https://markets.jpmorgan.com/research/ArticleServlet?doc=GPS-5345465-0&amp;referrerPortlet=analyst_page</x:v>
      </x:c>
    </x:row>
    <x:row r="40" ht="30" customHeight="1">
      <x:c r="A40" s="44" t="str">
        <x:v>Japan Equity Strategy (English)</x:v>
      </x:c>
      <x:c r="B40" s="44" t="str">
        <x:v>Publication</x:v>
      </x:c>
      <x:c r="C40" s="43" t="n">
        <x:v>46202</x:v>
      </x:c>
      <x:c r="D40" s="44" t="str">
        <x:v>Japan Equity Strategy</x:v>
      </x:c>
      <x:c r="E40" s="44" t="str">
        <x:v>Japan Equity Strategy: Weekly Update and Dashboard (Jun 29)</x:v>
      </x:c>
      <x:c r="F40" s="44" t="str">
        <x:v>GPS-5350843-0</x:v>
      </x:c>
      <x:c r="G40" s="44" t="str">
        <x:v>https://markets.jpmorgan.com/research/ArticleServlet?doc=GPS-5350843-0&amp;referrerPortlet=analyst_page</x:v>
      </x:c>
    </x:row>
    <x:row r="41" ht="30" customHeight="1">
      <x:c r="A41" s="44" t="str">
        <x:v>US Weekly Prospects</x:v>
      </x:c>
      <x:c r="B41" s="44" t="str">
        <x:v>Publication</x:v>
      </x:c>
      <x:c r="C41" s="43" t="n">
        <x:v>46200</x:v>
      </x:c>
      <x:c r="D41" s="44" t="str">
        <x:v>US Weekly Prospects</x:v>
      </x:c>
      <x:c r="E41" s="44" t="str">
        <x:v>US Weekly Prospects</x:v>
      </x:c>
      <x:c r="F41" s="44" t="str">
        <x:v>GPS-5321939-0</x:v>
      </x:c>
      <x:c r="G41" s="44" t="str">
        <x:v>https://markets.jpmorgan.com/research/ArticleServlet?doc=GPS-5321939-0&amp;referrerPortlet=analyst_page</x:v>
      </x:c>
    </x:row>
    <x:row r="42" ht="30" customHeight="1">
      <x:c r="A42" s="44" t="str">
        <x:v>Japan Equity Strategy (English)</x:v>
      </x:c>
      <x:c r="B42" s="44" t="str">
        <x:v>Publication</x:v>
      </x:c>
      <x:c r="C42" s="43" t="n">
        <x:v>46199</x:v>
      </x:c>
      <x:c r="D42" s="44" t="str">
        <x:v>Japan Equity Strategy</x:v>
      </x:c>
      <x:c r="E42" s="44" t="str">
        <x:v>Japan Equity Strategy: JPM view on impact of ¥370 trillion growth investment in 17 strategic areas and financial growth strategy</x:v>
      </x:c>
      <x:c r="F42" s="44" t="str">
        <x:v>GPS-5348441-0</x:v>
      </x:c>
      <x:c r="G42" s="44" t="str">
        <x:v>https://markets.jpmorgan.com/research/ArticleServlet?doc=GPS-5348441-0&amp;referrerPortlet=analyst_page</x:v>
      </x:c>
    </x:row>
    <x:row r="43" ht="30" customHeight="1">
      <x:c r="A43" s="44" t="str">
        <x:v>China Equity Strategy</x:v>
      </x:c>
      <x:c r="B43" s="44" t="str">
        <x:v>Publication</x:v>
      </x:c>
      <x:c r="C43" s="43" t="n">
        <x:v>46198</x:v>
      </x:c>
      <x:c r="D43" s="44" t="str">
        <x:v>China Equity Strategy</x:v>
      </x:c>
      <x:c r="E43" s="44" t="str">
        <x:v>China Equity Strategy: Three-Channel Playbook: How a Hormuz Reopening Could Boost China Stocks</x:v>
      </x:c>
      <x:c r="F43" s="44" t="str">
        <x:v>GPS-5347733-0</x:v>
      </x:c>
      <x:c r="G43" s="44" t="str">
        <x:v>https://markets.jpmorgan.com/research/ArticleServlet?doc=GPS-5347733-0&amp;referrerPortlet=analyst_page</x:v>
      </x:c>
    </x:row>
    <x:row r="44" ht="30" customHeight="1">
      <x:c r="A44" s="44" t="str">
        <x:v>Retail Radar</x:v>
      </x:c>
      <x:c r="B44" s="44" t="str">
        <x:v>Publication</x:v>
      </x:c>
      <x:c r="C44" s="43" t="n">
        <x:v>46198</x:v>
      </x:c>
      <x:c r="D44" s="44" t="str">
        <x:v>Retail Radar</x:v>
      </x:c>
      <x:c r="E44" s="44" t="str">
        <x:v>Retail Radar: Jun 24 - Retail Remembers the Dip, Memory (MU) Serves Right</x:v>
      </x:c>
      <x:c r="F44" s="44" t="str">
        <x:v>GPS-5344118-0</x:v>
      </x:c>
      <x:c r="G44" s="44" t="str">
        <x:v>https://markets.jpmorgan.com/research/ArticleServlet?doc=GPS-5344118-0&amp;referrerPortlet=analyst_page</x:v>
      </x:c>
    </x:row>
    <x:row r="45" ht="30" customHeight="1">
      <x:c r="A45" s="44" t="str">
        <x:v>Flows &amp; Liquidity</x:v>
      </x:c>
      <x:c r="B45" s="44" t="str">
        <x:v>Publication</x:v>
      </x:c>
      <x:c r="C45" s="43" t="n">
        <x:v>46197</x:v>
      </x:c>
      <x:c r="D45" s="44" t="str">
        <x:v>Flows &amp; Liquidity</x:v>
      </x:c>
      <x:c r="E45" s="44" t="str">
        <x:v>Flows &amp; Liquidity: Has investors leveraged peaked?</x:v>
      </x:c>
      <x:c r="F45" s="44" t="str">
        <x:v>GPS-5342405-0</x:v>
      </x:c>
      <x:c r="G45" s="44" t="str">
        <x:v>https://markets.jpmorgan.com/research/ArticleServlet?doc=GPS-5342405-0&amp;referrerPortlet=analyst_page</x:v>
      </x:c>
    </x:row>
    <x:row r="46" ht="30" customHeight="1">
      <x:c r="A46" s="44" t="str">
        <x:v>Global Equity Strategy</x:v>
      </x:c>
      <x:c r="B46" s="44" t="str">
        <x:v>Publication</x:v>
      </x:c>
      <x:c r="C46" s="43" t="n">
        <x:v>46197</x:v>
      </x:c>
      <x:c r="D46" s="44" t="str">
        <x:v>Global Equity Strategy</x:v>
      </x:c>
      <x:c r="E46" s="44" t="str">
        <x:v>Global Equity Strategy: 2026 Mid-Year Outlook</x:v>
      </x:c>
      <x:c r="F46" s="44" t="str">
        <x:v>GPS-5332597-0</x:v>
      </x:c>
      <x:c r="G46" s="44" t="str">
        <x:v>https://markets.jpmorgan.com/research/ArticleServlet?doc=GPS-5332597-0&amp;referrerPortlet=analyst_page</x:v>
      </x:c>
    </x:row>
    <x:row r="47" ht="30" customHeight="1">
      <x:c r="A47" s="44" t="str">
        <x:v>Global Equity Strategy Weekly &amp; Monthly Chartbook</x:v>
      </x:c>
      <x:c r="B47" s="44" t="str">
        <x:v>Publication</x:v>
      </x:c>
      <x:c r="C47" s="43" t="n">
        <x:v>46195</x:v>
      </x:c>
      <x:c r="D47" s="44" t="str">
        <x:v>Equity Strategy</x:v>
      </x:c>
      <x:c r="E47" s="44" t="str">
        <x:v>Equity Strategy: Certain beaten down Consumer plays to show better performance in 2H</x:v>
      </x:c>
      <x:c r="F47" s="44" t="str">
        <x:v>GPS-5338264-0</x:v>
      </x:c>
      <x:c r="G47" s="44" t="str">
        <x:v>https://markets.jpmorgan.com/research/ArticleServlet?doc=GPS-5338264-0&amp;referrerPortlet=analyst_page</x:v>
      </x:c>
    </x:row>
    <x:row r="48" ht="30" customHeight="1">
      <x:c r="A48" s="44" t="str">
        <x:v>Global index volatility chartbook</x:v>
      </x:c>
      <x:c r="B48" s="44" t="str">
        <x:v>Publication</x:v>
      </x:c>
      <x:c r="C48" s="43" t="n">
        <x:v>46195</x:v>
      </x:c>
      <x:c r="D48" s="44" t="str">
        <x:v>Global Index Volatility Chartbook</x:v>
      </x:c>
      <x:c r="E48" s="44" t="str">
        <x:v>Global Index Volatility Chartbook: Broader Volatility Resets Lower, AI-Exposed Indices Stay Rich</x:v>
      </x:c>
      <x:c r="F48" s="44" t="str">
        <x:v>GPS-5343215-0</x:v>
      </x:c>
      <x:c r="G48" s="44" t="str">
        <x:v>https://markets.jpmorgan.com/research/ArticleServlet?doc=GPS-5343215-0&amp;referrerPortlet=analyst_page</x:v>
      </x:c>
    </x:row>
    <x:row r="49" ht="30" customHeight="1">
      <x:c r="A49" s="44" t="str">
        <x:v>Japan Equity Strategy (English)</x:v>
      </x:c>
      <x:c r="B49" s="44" t="str">
        <x:v>Publication</x:v>
      </x:c>
      <x:c r="C49" s="43" t="n">
        <x:v>46195</x:v>
      </x:c>
      <x:c r="D49" s="44" t="str">
        <x:v>Japan Equity Strategy</x:v>
      </x:c>
      <x:c r="E49" s="44" t="str">
        <x:v>Japan Equity Strategy: Weekly Update and Dashboard (Jun 22)</x:v>
      </x:c>
      <x:c r="F49" s="44" t="str">
        <x:v>GPS-5343227-0</x:v>
      </x:c>
      <x:c r="G49" s="44" t="str">
        <x:v>https://markets.jpmorgan.com/research/ArticleServlet?doc=GPS-5343227-0&amp;referrerPortlet=analyst_page</x:v>
      </x:c>
    </x:row>
    <x:row r="50" ht="30" customHeight="1">
      <x:c r="A50" s="44" t="str">
        <x:v>US Weekly Prospects</x:v>
      </x:c>
      <x:c r="B50" s="44" t="str">
        <x:v>Publication</x:v>
      </x:c>
      <x:c r="C50" s="43" t="n">
        <x:v>46192</x:v>
      </x:c>
      <x:c r="D50" s="44" t="str">
        <x:v>US Weekly Prospects</x:v>
      </x:c>
      <x:c r="E50" s="44" t="str">
        <x:v>US Weekly Prospects</x:v>
      </x:c>
      <x:c r="F50" s="44" t="str">
        <x:v>GPS-5321930-0</x:v>
      </x:c>
      <x:c r="G50" s="44" t="str">
        <x:v>https://markets.jpmorgan.com/research/ArticleServlet?doc=GPS-5321930-0&amp;referrerPortlet=analyst_page</x:v>
      </x:c>
    </x:row>
    <x:row r="51" ht="30" customHeight="1">
      <x:c r="A51" s="44" t="str">
        <x:v>Retail Radar</x:v>
      </x:c>
      <x:c r="B51" s="44" t="str">
        <x:v>Publication</x:v>
      </x:c>
      <x:c r="C51" s="43" t="n">
        <x:v>46191</x:v>
      </x:c>
      <x:c r="D51" s="44" t="str">
        <x:v>Retail Radar</x:v>
      </x:c>
      <x:c r="E51" s="44" t="str">
        <x:v>Retail Radar: Jun 17 - Tech Craze Spillover to Communications</x:v>
      </x:c>
      <x:c r="F51" s="44" t="str">
        <x:v>GPS-5334244-0</x:v>
      </x:c>
      <x:c r="G51" s="44" t="str">
        <x:v>https://markets.jpmorgan.com/research/ArticleServlet?doc=GPS-5334244-0&amp;referrerPortlet=analyst_page</x:v>
      </x:c>
    </x:row>
    <x:row r="52" ht="30" customHeight="1">
      <x:c r="A52" s="44" t="str">
        <x:v>China Equity Strategy</x:v>
      </x:c>
      <x:c r="B52" s="44" t="str">
        <x:v>Publication</x:v>
      </x:c>
      <x:c r="C52" s="43" t="n">
        <x:v>46190</x:v>
      </x:c>
      <x:c r="D52" s="44" t="str">
        <x:v>China Equity Strategy</x:v>
      </x:c>
      <x:c r="E52" s="44" t="str">
        <x:v>China Equity Strategy: Unique opportunities in the China AI ecosystem</x:v>
      </x:c>
      <x:c r="F52" s="44" t="str">
        <x:v>GPS-5338648-0</x:v>
      </x:c>
      <x:c r="G52" s="44" t="str">
        <x:v>https://markets.jpmorgan.com/research/ArticleServlet?doc=GPS-5338648-0&amp;referrerPortlet=analyst_page</x:v>
      </x:c>
    </x:row>
    <x:row r="53" ht="30" customHeight="1">
      <x:c r="A53" s="44" t="str">
        <x:v>Equity Volatility Strategy Dispersion Chartbook</x:v>
      </x:c>
      <x:c r="B53" s="44" t="str">
        <x:v>Publication</x:v>
      </x:c>
      <x:c r="C53" s="43" t="n">
        <x:v>46188</x:v>
      </x:c>
      <x:c r="D53" s="44" t="str">
        <x:v>Equity Volatility Strategy</x:v>
      </x:c>
      <x:c r="E53" s="44" t="str">
        <x:v>Equity Volatility Strategy: Dispersion Chartbook</x:v>
      </x:c>
      <x:c r="F53" s="44" t="str">
        <x:v>GPS-5336420-0</x:v>
      </x:c>
      <x:c r="G53" s="44" t="str">
        <x:v>https://markets.jpmorgan.com/research/ArticleServlet?doc=GPS-5336420-0&amp;referrerPortlet=analyst_page</x:v>
      </x:c>
    </x:row>
    <x:row r="54" ht="30" customHeight="1">
      <x:c r="A54" s="44" t="str">
        <x:v>Global Equity Strategy Weekly &amp; Monthly Chartbook</x:v>
      </x:c>
      <x:c r="B54" s="44" t="str">
        <x:v>Publication</x:v>
      </x:c>
      <x:c r="C54" s="43" t="n">
        <x:v>46188</x:v>
      </x:c>
      <x:c r="D54" s="44" t="str">
        <x:v>Equity Strategy</x:v>
      </x:c>
      <x:c r="E54" s="44" t="str">
        <x:v>Equity Strategy: Market leadership: look for risk-on, Cyclical trading in 2H, Europe, and potentially Consumer plays, included</x:v>
      </x:c>
      <x:c r="F54" s="44" t="str">
        <x:v>GPS-5332387-0</x:v>
      </x:c>
      <x:c r="G54" s="44" t="str">
        <x:v>https://markets.jpmorgan.com/research/ArticleServlet?doc=GPS-5332387-0&amp;referrerPortlet=analyst_page</x:v>
      </x:c>
    </x:row>
    <x:row r="55" ht="30" customHeight="1">
      <x:c r="A55" s="44" t="str">
        <x:v>Global index volatility chartbook</x:v>
      </x:c>
      <x:c r="B55" s="44" t="str">
        <x:v>Publication</x:v>
      </x:c>
      <x:c r="C55" s="43" t="n">
        <x:v>46188</x:v>
      </x:c>
      <x:c r="D55" s="44" t="str">
        <x:v>Global Index Volatility Chartbook</x:v>
      </x:c>
      <x:c r="E55" s="44" t="str">
        <x:v>Global Index Volatility Chartbook: Peace Hopes Cool Cross-Asset Volatility</x:v>
      </x:c>
      <x:c r="F55" s="44" t="str">
        <x:v>GPS-5336432-0</x:v>
      </x:c>
      <x:c r="G55" s="44" t="str">
        <x:v>https://markets.jpmorgan.com/research/ArticleServlet?doc=GPS-5336432-0&amp;referrerPortlet=analyst_page</x:v>
      </x:c>
    </x:row>
    <x:row r="56" ht="30" customHeight="1">
      <x:c r="A56" s="44" t="str">
        <x:v>US Weekly Prospects</x:v>
      </x:c>
      <x:c r="B56" s="44" t="str">
        <x:v>Publication</x:v>
      </x:c>
      <x:c r="C56" s="43" t="n">
        <x:v>46186</x:v>
      </x:c>
      <x:c r="D56" s="44" t="str">
        <x:v>US Weekly Prospects</x:v>
      </x:c>
      <x:c r="E56" s="44" t="str">
        <x:v>US Weekly Prospects</x:v>
      </x:c>
      <x:c r="F56" s="44" t="str">
        <x:v>GPS-5321927-0</x:v>
      </x:c>
      <x:c r="G56" s="44" t="str">
        <x:v>https://markets.jpmorgan.com/research/ArticleServlet?doc=GPS-5321927-0&amp;referrerPortlet=analyst_page</x:v>
      </x:c>
    </x:row>
    <x:row r="57" ht="30" customHeight="1">
      <x:c r="A57" s="44" t="str">
        <x:v>Global Equity Strategy</x:v>
      </x:c>
      <x:c r="B57" s="44" t="str">
        <x:v>Publication</x:v>
      </x:c>
      <x:c r="C57" s="43" t="n">
        <x:v>46184</x:v>
      </x:c>
      <x:c r="D57" s="44" t="str">
        <x:v>Equity Thematic Strategy</x:v>
      </x:c>
      <x:c r="E57" s="44" t="str">
        <x:v>Equity Thematic Strategy: 2026 World Cup Beneficiaries</x:v>
      </x:c>
      <x:c r="F57" s="44" t="str">
        <x:v>GPS-5333402-0</x:v>
      </x:c>
      <x:c r="G57" s="44" t="str">
        <x:v>https://markets.jpmorgan.com/research/ArticleServlet?doc=GPS-5333402-0&amp;referrerPortlet=analyst_page</x:v>
      </x:c>
    </x:row>
    <x:row r="58" ht="30" customHeight="1">
      <x:c r="A58" s="44" t="str">
        <x:v>Retail Radar</x:v>
      </x:c>
      <x:c r="B58" s="44" t="str">
        <x:v>Publication</x:v>
      </x:c>
      <x:c r="C58" s="43" t="n">
        <x:v>46184</x:v>
      </x:c>
      <x:c r="D58" s="44" t="str">
        <x:v>Retail Radar</x:v>
      </x:c>
      <x:c r="E58" s="44" t="str">
        <x:v>Retail Radar: Jun 10 - Tech Selling amidst Drawdown, World Cup Theme Yet to Kick In</x:v>
      </x:c>
      <x:c r="F58" s="44" t="str">
        <x:v>GPS-5329894-0</x:v>
      </x:c>
      <x:c r="G58" s="44" t="str">
        <x:v>https://markets.jpmorgan.com/research/ArticleServlet?doc=GPS-5329894-0&amp;referrerPortlet=analyst_page</x:v>
      </x:c>
    </x:row>
    <x:row r="59" ht="30" customHeight="1">
      <x:c r="A59" s="44" t="str">
        <x:v>Global index volatility chartbook</x:v>
      </x:c>
      <x:c r="B59" s="44" t="str">
        <x:v>Publication</x:v>
      </x:c>
      <x:c r="C59" s="43" t="n">
        <x:v>46182</x:v>
      </x:c>
      <x:c r="D59" s="44" t="str">
        <x:v>Global Index Volatility Chartbook</x:v>
      </x:c>
      <x:c r="E59" s="44" t="str">
        <x:v>Global Index Volatility Chartbook: AI Momentum Stumbles, Asia Volatility Stays Rich</x:v>
      </x:c>
      <x:c r="F59" s="44" t="str">
        <x:v>GPS-5329281-0</x:v>
      </x:c>
      <x:c r="G59" s="44" t="str">
        <x:v>https://markets.jpmorgan.com/research/ArticleServlet?doc=GPS-5329281-0&amp;referrerPortlet=analyst_page</x:v>
      </x:c>
    </x:row>
    <x:row r="60" ht="30" customHeight="1">
      <x:c r="A60" s="44" t="str">
        <x:v>Global Equity Strategy Weekly &amp; Monthly Chartbook</x:v>
      </x:c>
      <x:c r="B60" s="44" t="str">
        <x:v>Publication</x:v>
      </x:c>
      <x:c r="C60" s="43" t="n">
        <x:v>46181</x:v>
      </x:c>
      <x:c r="D60" s="44" t="str">
        <x:v>Equity Strategy</x:v>
      </x:c>
      <x:c r="E60" s="44" t="str">
        <x:v>Equity Strategy: What would it take for Europe to trade relatively better?</x:v>
      </x:c>
      <x:c r="F60" s="44" t="str">
        <x:v>GPS-5324607-0</x:v>
      </x:c>
      <x:c r="G60" s="44" t="str">
        <x:v>https://markets.jpmorgan.com/research/ArticleServlet?doc=GPS-5324607-0&amp;referrerPortlet=analyst_page</x:v>
      </x:c>
    </x:row>
    <x:row r="61" ht="30" customHeight="1">
      <x:c r="A61" s="44" t="str">
        <x:v>US Weekly Prospects</x:v>
      </x:c>
      <x:c r="B61" s="44" t="str">
        <x:v>Publication</x:v>
      </x:c>
      <x:c r="C61" s="43" t="n">
        <x:v>46179</x:v>
      </x:c>
      <x:c r="D61" s="44" t="str">
        <x:v>US Weekly Prospects</x:v>
      </x:c>
      <x:c r="E61" s="44" t="str">
        <x:v>US Weekly Prospects</x:v>
      </x:c>
      <x:c r="F61" s="44" t="str">
        <x:v>GPS-5321925-0</x:v>
      </x:c>
      <x:c r="G61" s="44" t="str">
        <x:v>https://markets.jpmorgan.com/research/ArticleServlet?doc=GPS-5321925-0&amp;referrerPortlet=analyst_page</x:v>
      </x:c>
    </x:row>
    <x:row r="62" ht="30" customHeight="1">
      <x:c r="A62" s="44" t="str">
        <x:v>Retail Radar</x:v>
      </x:c>
      <x:c r="B62" s="44" t="str">
        <x:v>Publication</x:v>
      </x:c>
      <x:c r="C62" s="43" t="n">
        <x:v>46177</x:v>
      </x:c>
      <x:c r="D62" s="44" t="str">
        <x:v>Retail Radar</x:v>
      </x:c>
      <x:c r="E62" s="44" t="str">
        <x:v>Retail Radar: Jun 3 - MEME Earnings, Trading around IPOs</x:v>
      </x:c>
      <x:c r="F62" s="44" t="str">
        <x:v>GPS-5322269-0</x:v>
      </x:c>
      <x:c r="G62" s="44" t="str">
        <x:v>https://markets.jpmorgan.com/research/ArticleServlet?doc=GPS-5322269-0&amp;referrerPortlet=analyst_page</x:v>
      </x:c>
    </x:row>
    <x:row r="63" ht="30" customHeight="1">
      <x:c r="A63" s="44" t="str">
        <x:v>US Tactical Derivatives Strategy</x:v>
      </x:c>
      <x:c r="B63" s="44" t="str">
        <x:v>Publication</x:v>
      </x:c>
      <x:c r="C63" s="43" t="n">
        <x:v>46176</x:v>
      </x:c>
      <x:c r="D63" s="44" t="str">
        <x:v>US Tactical Derivatives Strategy</x:v>
      </x:c>
      <x:c r="E63" s="44" t="str">
        <x:v>US Tactical Derivatives Strategy: AVGO: Continuing to Ramp - Buy Call Spreads into Earnings</x:v>
      </x:c>
      <x:c r="F63" s="44" t="str">
        <x:v>GPS-5323589-0</x:v>
      </x:c>
      <x:c r="G63" s="44" t="str">
        <x:v>https://markets.jpmorgan.com/research/ArticleServlet?doc=GPS-5323589-0&amp;referrerPortlet=analyst_page</x:v>
      </x:c>
    </x:row>
    <x:row r="64" ht="30" customHeight="1">
      <x:c r="A64" s="44" t="str">
        <x:v>Global index volatility chartbook</x:v>
      </x:c>
      <x:c r="B64" s="44" t="str">
        <x:v>Publication</x:v>
      </x:c>
      <x:c r="C64" s="43" t="n">
        <x:v>46175</x:v>
      </x:c>
      <x:c r="D64" s="44" t="str">
        <x:v>Global Index Volatility Chartbook</x:v>
      </x:c>
      <x:c r="E64" s="44" t="str">
        <x:v>Global Index Volatility Chartbook: Oil Volatility Unwinds, Asia Equity Volatility Holds Rich</x:v>
      </x:c>
      <x:c r="F64" s="44" t="str">
        <x:v>GPS-5323124-0</x:v>
      </x:c>
      <x:c r="G64" s="44" t="str">
        <x:v>https://markets.jpmorgan.com/research/ArticleServlet?doc=GPS-5323124-0&amp;referrerPortlet=analyst_page</x:v>
      </x:c>
    </x:row>
    <x:row r="65" ht="30" customHeight="1">
      <x:c r="A65" s="44" t="str">
        <x:v>US Weekly Prospects</x:v>
      </x:c>
      <x:c r="B65" s="44" t="str">
        <x:v>Publication</x:v>
      </x:c>
      <x:c r="C65" s="43" t="n">
        <x:v>46171</x:v>
      </x:c>
      <x:c r="D65" s="44" t="str">
        <x:v>US Weekly Prospects</x:v>
      </x:c>
      <x:c r="E65" s="44" t="str">
        <x:v>US Weekly Prospects</x:v>
      </x:c>
      <x:c r="F65" s="44" t="str">
        <x:v>GPS-5278456-0</x:v>
      </x:c>
      <x:c r="G65" s="44" t="str">
        <x:v>https://markets.jpmorgan.com/research/ArticleServlet?doc=GPS-5278456-0&amp;referrerPortlet=analyst_page</x:v>
      </x:c>
    </x:row>
    <x:row r="66" ht="30" customHeight="1">
      <x:c r="A66" s="44" t="str">
        <x:v>Retail Radar</x:v>
      </x:c>
      <x:c r="B66" s="44" t="str">
        <x:v>Publication</x:v>
      </x:c>
      <x:c r="C66" s="43" t="n">
        <x:v>46170</x:v>
      </x:c>
      <x:c r="D66" s="44" t="str">
        <x:v>Retail Radar</x:v>
      </x:c>
      <x:c r="E66" s="44" t="str">
        <x:v>Retail Radar: May 27 - Theme Stack: AI, Memory, Space, Quantum</x:v>
      </x:c>
      <x:c r="F66" s="44" t="str">
        <x:v>GPS-5315761-0</x:v>
      </x:c>
      <x:c r="G66" s="44" t="str">
        <x:v>https://markets.jpmorgan.com/research/ArticleServlet?doc=GPS-5315761-0&amp;referrerPortlet=analyst_page</x:v>
      </x:c>
    </x:row>
    <x:row r="67" ht="30" customHeight="1">
      <x:c r="A67" s="44" t="str">
        <x:v>Global Equity Strategy Weekly &amp; Monthly Chartbook</x:v>
      </x:c>
      <x:c r="B67" s="44" t="str">
        <x:v>Publication</x:v>
      </x:c>
      <x:c r="C67" s="43" t="n">
        <x:v>46168</x:v>
      </x:c>
      <x:c r="D67" s="44" t="str">
        <x:v>Equity Strategy</x:v>
      </x:c>
      <x:c r="E67" s="44" t="str">
        <x:v>Equity Strategy: Bond yields and market leadership</x:v>
      </x:c>
      <x:c r="F67" s="44" t="str">
        <x:v>GPS-5308521-0</x:v>
      </x:c>
      <x:c r="G67" s="44" t="str">
        <x:v>https://markets.jpmorgan.com/research/ArticleServlet?doc=GPS-5308521-0&amp;referrerPortlet=analyst_page</x:v>
      </x:c>
    </x:row>
    <x:row r="68" ht="30" customHeight="1">
      <x:c r="A68" s="44" t="str">
        <x:v>Global index volatility chartbook</x:v>
      </x:c>
      <x:c r="B68" s="44" t="str">
        <x:v>Publication</x:v>
      </x:c>
      <x:c r="C68" s="43" t="n">
        <x:v>46168</x:v>
      </x:c>
      <x:c r="D68" s="44" t="str">
        <x:v>Global Index Volatility Chartbook</x:v>
      </x:c>
      <x:c r="E68" s="44" t="str">
        <x:v>Global Index Volatility Chartbook: Equity Vol Cools; Oil Options Stay Hot</x:v>
      </x:c>
      <x:c r="F68" s="44" t="str">
        <x:v>GPS-5314038-0</x:v>
      </x:c>
      <x:c r="G68" s="44" t="str">
        <x:v>https://markets.jpmorgan.com/research/ArticleServlet?doc=GPS-5314038-0&amp;referrerPortlet=analyst_page</x:v>
      </x:c>
    </x:row>
    <x:row r="69" ht="30" customHeight="1">
      <x:c r="A69" s="44" t="str">
        <x:v>China Equity Strategy</x:v>
      </x:c>
      <x:c r="B69" s="44" t="str">
        <x:v>Publication</x:v>
      </x:c>
      <x:c r="C69" s="43" t="n">
        <x:v>46166</x:v>
      </x:c>
      <x:c r="D69" s="44" t="str">
        <x:v>China Equity Strategy</x:v>
      </x:c>
      <x:c r="E69" s="44" t="str">
        <x:v>China Equity Strategy: Ear to the ground – Global China Summit feedback supports thematic positioning in AI, robotics and Tier 1 CBD developers</x:v>
      </x:c>
      <x:c r="F69" s="44" t="str">
        <x:v>GPS-5313976-0</x:v>
      </x:c>
      <x:c r="G69" s="44" t="str">
        <x:v>https://markets.jpmorgan.com/research/ArticleServlet?doc=GPS-5313976-0&amp;referrerPortlet=analyst_page</x:v>
      </x:c>
    </x:row>
    <x:row r="70" ht="30" customHeight="1">
      <x:c r="A70" s="44" t="str">
        <x:v>US Weekly Prospects</x:v>
      </x:c>
      <x:c r="B70" s="44" t="str">
        <x:v>Publication</x:v>
      </x:c>
      <x:c r="C70" s="43" t="n">
        <x:v>46165</x:v>
      </x:c>
      <x:c r="D70" s="44" t="str">
        <x:v>US Weekly Prospects</x:v>
      </x:c>
      <x:c r="E70" s="44" t="str">
        <x:v>US Weekly Prospects</x:v>
      </x:c>
      <x:c r="F70" s="44" t="str">
        <x:v>GPS-5278454-0</x:v>
      </x:c>
      <x:c r="G70" s="44" t="str">
        <x:v>https://markets.jpmorgan.com/research/ArticleServlet?doc=GPS-5278454-0&amp;referrerPortlet=analyst_page</x:v>
      </x:c>
    </x:row>
    <x:row r="71" ht="30" customHeight="1">
      <x:c r="A71" s="44" t="str">
        <x:v>China Equity Strategy</x:v>
      </x:c>
      <x:c r="B71" s="44" t="str">
        <x:v>Publication</x:v>
      </x:c>
      <x:c r="C71" s="43" t="n">
        <x:v>46160</x:v>
      </x:c>
      <x:c r="D71" s="44" t="str">
        <x:v>Hong Kong Equity Strategy</x:v>
      </x:c>
      <x:c r="E71" s="44" t="str">
        <x:v>Hong Kong Equity Strategy: Higher, but slower – normalization sets in, capital inflows as the upside lever</x:v>
      </x:c>
      <x:c r="F71" s="44" t="str">
        <x:v>GPS-5305903-0</x:v>
      </x:c>
      <x:c r="G71" s="44" t="str">
        <x:v>https://markets.jpmorgan.com/research/ArticleServlet?doc=GPS-5305903-0&amp;referrerPortlet=analyst_page</x:v>
      </x:c>
    </x:row>
    <x:row r="72" ht="30" customHeight="1">
      <x:c r="A72" s="44" t="str">
        <x:v>Global Equity Strategy Weekly &amp; Monthly Chartbook</x:v>
      </x:c>
      <x:c r="B72" s="44" t="str">
        <x:v>Publication</x:v>
      </x:c>
      <x:c r="C72" s="43" t="n">
        <x:v>46160</x:v>
      </x:c>
      <x:c r="D72" s="44" t="str">
        <x:v>Equity Strategy</x:v>
      </x:c>
      <x:c r="E72" s="44" t="str">
        <x:v>Equity Strategy: Cyclicals, Value and Small caps lead ytd - a bridge too far for some?</x:v>
      </x:c>
      <x:c r="F72" s="44" t="str">
        <x:v>GPS-5301437-0</x:v>
      </x:c>
      <x:c r="G72" s="44" t="str">
        <x:v>https://markets.jpmorgan.com/research/ArticleServlet?doc=GPS-5301437-0&amp;referrerPortlet=analyst_page</x:v>
      </x:c>
    </x:row>
    <x:row r="73" ht="30" customHeight="1">
      <x:c r="A73" s="44" t="str">
        <x:v>Global index volatility chartbook</x:v>
      </x:c>
      <x:c r="B73" s="44" t="str">
        <x:v>Publication</x:v>
      </x:c>
      <x:c r="C73" s="43" t="n">
        <x:v>46160</x:v>
      </x:c>
      <x:c r="D73" s="44" t="str">
        <x:v>Global Index Volatility Chartbook</x:v>
      </x:c>
      <x:c r="E73" s="44" t="str">
        <x:v>Global Index Volatility Chartbook: KOSPI2 Vol Blowout; Rates Vol Keeps Climbing</x:v>
      </x:c>
      <x:c r="F73" s="44" t="str">
        <x:v>GPS-5306391-0</x:v>
      </x:c>
      <x:c r="G73" s="44" t="str">
        <x:v>https://markets.jpmorgan.com/research/ArticleServlet?doc=GPS-5306391-0&amp;referrerPortlet=analyst_page</x:v>
      </x:c>
    </x:row>
    <x:row r="74" ht="30" customHeight="1">
      <x:c r="A74" s="44" t="str">
        <x:v>China Equity Strategy</x:v>
      </x:c>
      <x:c r="B74" s="44" t="str">
        <x:v>Publication</x:v>
      </x:c>
      <x:c r="C74" s="43" t="n">
        <x:v>46159</x:v>
      </x:c>
      <x:c r="D74" s="44" t="str">
        <x:v>China Equity Strategy</x:v>
      </x:c>
      <x:c r="E74" s="44" t="str">
        <x:v>China Equity Strategy: Post Trump-Xi Summit, refocus on quality growth themes supported by abundant A-share liquidity</x:v>
      </x:c>
      <x:c r="F74" s="44" t="str">
        <x:v>GPS-5305277-0</x:v>
      </x:c>
      <x:c r="G74" s="44" t="str">
        <x:v>https://markets.jpmorgan.com/research/ArticleServlet?doc=GPS-5305277-0&amp;referrerPortlet=analyst_page</x:v>
      </x:c>
    </x:row>
    <x:row r="75" ht="30" customHeight="1">
      <x:c r="A75" s="44" t="str">
        <x:v>Global Equity Strategy</x:v>
      </x:c>
      <x:c r="B75" s="44" t="str">
        <x:v>Publication</x:v>
      </x:c>
      <x:c r="C75" s="43" t="n">
        <x:v>46157</x:v>
      </x:c>
      <x:c r="D75" s="44" t="str">
        <x:v>Equity Thematic Strategy</x:v>
      </x:c>
      <x:c r="E75" s="44" t="str">
        <x:v>Equity Thematic Strategy: Security and Resiliency Investing</x:v>
      </x:c>
      <x:c r="F75" s="44" t="str">
        <x:v>GPS-5274031-0</x:v>
      </x:c>
      <x:c r="G75" s="44" t="str">
        <x:v>https://markets.jpmorgan.com/research/ArticleServlet?doc=GPS-5274031-0&amp;referrerPortlet=analyst_page</x:v>
      </x:c>
    </x:row>
    <x:row r="76" ht="30" customHeight="1">
      <x:c r="A76" s="44" t="str">
        <x:v>US Weekly Prospects</x:v>
      </x:c>
      <x:c r="B76" s="44" t="str">
        <x:v>Publication</x:v>
      </x:c>
      <x:c r="C76" s="43" t="n">
        <x:v>46157</x:v>
      </x:c>
      <x:c r="D76" s="44" t="str">
        <x:v>US Weekly Prospects</x:v>
      </x:c>
      <x:c r="E76" s="44" t="str">
        <x:v>US Weekly Prospects</x:v>
      </x:c>
      <x:c r="F76" s="44" t="str">
        <x:v>GPS-5278452-0</x:v>
      </x:c>
      <x:c r="G76" s="44" t="str">
        <x:v>https://markets.jpmorgan.com/research/ArticleServlet?doc=GPS-5278452-0&amp;referrerPortlet=analyst_page</x:v>
      </x:c>
    </x:row>
    <x:row r="77" ht="30" customHeight="1">
      <x:c r="A77" s="44" t="str">
        <x:v>Retail Radar</x:v>
      </x:c>
      <x:c r="B77" s="44" t="str">
        <x:v>Publication</x:v>
      </x:c>
      <x:c r="C77" s="43" t="n">
        <x:v>46156</x:v>
      </x:c>
      <x:c r="D77" s="44" t="str">
        <x:v>Retail Radar</x:v>
      </x:c>
      <x:c r="E77" s="44" t="str">
        <x:v>Retail Radar: May 13 - Software vs Semis Positioning</x:v>
      </x:c>
      <x:c r="F77" s="44" t="str">
        <x:v>GPS-5298580-0</x:v>
      </x:c>
      <x:c r="G77" s="44" t="str">
        <x:v>https://markets.jpmorgan.com/research/ArticleServlet?doc=GPS-5298580-0&amp;referrerPortlet=analyst_page</x:v>
      </x:c>
    </x:row>
    <x:row r="78" ht="30" customHeight="1">
      <x:c r="A78" s="44" t="str">
        <x:v>Equity Volatility Strategy Dispersion Chartbook</x:v>
      </x:c>
      <x:c r="B78" s="44" t="str">
        <x:v>Publication</x:v>
      </x:c>
      <x:c r="C78" s="43" t="n">
        <x:v>46155</x:v>
      </x:c>
      <x:c r="D78" s="44" t="str">
        <x:v>Equity Volatility Strategy</x:v>
      </x:c>
      <x:c r="E78" s="44" t="str">
        <x:v>Equity Volatility Strategy: Dispersion Chartbook</x:v>
      </x:c>
      <x:c r="F78" s="44" t="str">
        <x:v>GPS-5302163-0</x:v>
      </x:c>
      <x:c r="G78" s="44" t="str">
        <x:v>https://markets.jpmorgan.com/research/ArticleServlet?doc=GPS-5302163-0&amp;referrerPortlet=analyst_page</x:v>
      </x:c>
    </x:row>
    <x:row r="79" ht="30" customHeight="1">
      <x:c r="A79" s="44" t="str">
        <x:v>US Tactical Derivatives Strategy</x:v>
      </x:c>
      <x:c r="B79" s="44" t="str">
        <x:v>Publication</x:v>
      </x:c>
      <x:c r="C79" s="43" t="n">
        <x:v>46155</x:v>
      </x:c>
      <x:c r="D79" s="44" t="str">
        <x:v>US Tactical Derivatives Strategy</x:v>
      </x:c>
      <x:c r="E79" s="44" t="str">
        <x:v>US Tactical Derivatives Strategy: Only You Can Prevent Wildfires: Buy PCG Call Spreads</x:v>
      </x:c>
      <x:c r="F79" s="44" t="str">
        <x:v>GPS-5300272-0</x:v>
      </x:c>
      <x:c r="G79" s="44" t="str">
        <x:v>https://markets.jpmorgan.com/research/ArticleServlet?doc=GPS-5300272-0&amp;referrerPortlet=analyst_page</x:v>
      </x:c>
    </x:row>
    <x:row r="80" ht="30" customHeight="1">
      <x:c r="A80" s="44" t="str">
        <x:v>Global index volatility chartbook</x:v>
      </x:c>
      <x:c r="B80" s="44" t="str">
        <x:v>Publication</x:v>
      </x:c>
      <x:c r="C80" s="43" t="n">
        <x:v>46153</x:v>
      </x:c>
      <x:c r="D80" s="44" t="str">
        <x:v>Global Index Volatility Chartbook</x:v>
      </x:c>
      <x:c r="E80" s="44" t="str">
        <x:v>Global Index Volatility Chartbook: Commodity Vol Stays Rich</x:v>
      </x:c>
      <x:c r="F80" s="44" t="str">
        <x:v>GPS-5297297-0</x:v>
      </x:c>
      <x:c r="G80" s="44" t="str">
        <x:v>https://markets.jpmorgan.com/research/ArticleServlet?doc=GPS-5297297-0&amp;referrerPortlet=analyst_page</x:v>
      </x:c>
    </x:row>
    <x:row r="81" ht="30" customHeight="1">
      <x:c r="A81" s="44" t="str">
        <x:v>Retail Radar</x:v>
      </x:c>
      <x:c r="B81" s="44" t="str">
        <x:v>Publication</x:v>
      </x:c>
      <x:c r="C81" s="43" t="n">
        <x:v>46149</x:v>
      </x:c>
      <x:c r="D81" s="44" t="str">
        <x:v>Retail Radar</x:v>
      </x:c>
      <x:c r="E81" s="44" t="str">
        <x:v>Retail Radar: May 6 - Memory and AI, the Catch-Up Trade</x:v>
      </x:c>
      <x:c r="F81" s="44" t="str">
        <x:v>GPS-5286716-0</x:v>
      </x:c>
      <x:c r="G81" s="44" t="str">
        <x:v>https://markets.jpmorgan.com/research/ArticleServlet?doc=GPS-5286716-0&amp;referrerPortlet=analyst_page</x:v>
      </x:c>
    </x:row>
    <x:row r="82" ht="30" customHeight="1">
      <x:c r="A82" s="44" t="str">
        <x:v>Equity Volatility Strategy Dispersion Chartbook</x:v>
      </x:c>
      <x:c r="B82" s="44" t="str">
        <x:v>Publication</x:v>
      </x:c>
      <x:c r="C82" s="43" t="n">
        <x:v>46148</x:v>
      </x:c>
      <x:c r="D82" s="44" t="str">
        <x:v>Equity Volatility Strategy</x:v>
      </x:c>
      <x:c r="E82" s="44" t="str">
        <x:v>Equity Volatility Strategy: Dispersion Chartbook</x:v>
      </x:c>
      <x:c r="F82" s="44" t="str">
        <x:v>GPS-5291657-0</x:v>
      </x:c>
      <x:c r="G82" s="44" t="str">
        <x:v>https://markets.jpmorgan.com/research/ArticleServlet?doc=GPS-5291657-0&amp;referrerPortlet=analyst_page</x:v>
      </x:c>
    </x:row>
    <x:row r="83" ht="30" customHeight="1">
      <x:c r="A83" s="44" t="str">
        <x:v>Global Equity Strategy Weekly &amp; Monthly Chartbook</x:v>
      </x:c>
      <x:c r="B83" s="44" t="str">
        <x:v>Publication</x:v>
      </x:c>
      <x:c r="C83" s="43" t="n">
        <x:v>46139</x:v>
      </x:c>
      <x:c r="D83" s="44" t="str">
        <x:v>Equity Strategy</x:v>
      </x:c>
      <x:c r="E83" s="44" t="str">
        <x:v>Equity Strategy: Keep using dips to add; 2H leadership to be different from Liberation Day aftermath; Reiterate OW EM vs DM</x:v>
      </x:c>
      <x:c r="F83" s="44" t="str">
        <x:v>GPS-5274302-0</x:v>
      </x:c>
      <x:c r="G83" s="44" t="str">
        <x:v>https://markets.jpmorgan.com/research/ArticleServlet?doc=GPS-5274302-0&amp;referrerPortlet=analyst_page</x:v>
      </x:c>
    </x:row>
    <x:row r="84" ht="30" customHeight="1">
      <x:c r="A84" s="44" t="str">
        <x:v>US Tactical Derivatives Strategy</x:v>
      </x:c>
      <x:c r="B84" s="44" t="str">
        <x:v>Publication</x:v>
      </x:c>
      <x:c r="C84" s="43" t="n">
        <x:v>46134</x:v>
      </x:c>
      <x:c r="D84" s="44" t="str">
        <x:v>US Tactical Derivatives Strategy</x:v>
      </x:c>
      <x:c r="E84" s="44" t="str">
        <x:v>US Tactical Derivatives Strategy: NOW: Tactically Hedge Shorts into Earnings</x:v>
      </x:c>
      <x:c r="F84" s="44" t="str">
        <x:v>GPS-5272985-0</x:v>
      </x:c>
      <x:c r="G84" s="44" t="str">
        <x:v>https://markets.jpmorgan.com/research/ArticleServlet?doc=GPS-5272985-0&amp;referrerPortlet=analyst_page</x:v>
      </x:c>
    </x:row>
    <x:row r="85" ht="30" customHeight="1">
      <x:c r="A85" s="44" t="str">
        <x:v>Global Equity Strategy</x:v>
      </x:c>
      <x:c r="B85" s="44" t="str">
        <x:v>Publication</x:v>
      </x:c>
      <x:c r="C85" s="43" t="n">
        <x:v>46133</x:v>
      </x:c>
      <x:c r="D85" s="44" t="str">
        <x:v>Global Equity Strategy</x:v>
      </x:c>
      <x:c r="E85" s="44" t="str">
        <x:v>Global Equity Strategy: Market Update, AI &amp; Security Resurgence, Earnings Accelerate Amidst Geopolitical Uncertainty</x:v>
      </x:c>
      <x:c r="F85" s="44" t="str">
        <x:v>GPS-5252024-0</x:v>
      </x:c>
      <x:c r="G85" s="44" t="str">
        <x:v>https://markets.jpmorgan.com/research/ArticleServlet?doc=GPS-5252024-0&amp;referrerPortlet=analyst_page</x:v>
      </x:c>
    </x:row>
    <x:row r="86" ht="30" customHeight="1">
      <x:c r="A86" s="44" t="str">
        <x:v>Global Equity Strategy Weekly &amp; Monthly Chartbook</x:v>
      </x:c>
      <x:c r="B86" s="44" t="str">
        <x:v>Publication</x:v>
      </x:c>
      <x:c r="C86" s="43" t="n">
        <x:v>46132</x:v>
      </x:c>
      <x:c r="D86" s="44" t="str">
        <x:v>Equity Strategy</x:v>
      </x:c>
      <x:c r="E86" s="44" t="str">
        <x:v>Equity Strategy: Earnings are staying resilient, providing another support to the equity market; Q1 Preview</x:v>
      </x:c>
      <x:c r="F86" s="44" t="str">
        <x:v>GPS-5264859-0</x:v>
      </x:c>
      <x:c r="G86" s="44" t="str">
        <x:v>https://markets.jpmorgan.com/research/ArticleServlet?doc=GPS-5264859-0&amp;referrerPortlet=analyst_page</x:v>
      </x:c>
    </x:row>
    <x:row r="87" ht="30" customHeight="1">
      <x:c r="A87" s="44" t="str">
        <x:v>Flows &amp; Liquidity</x:v>
      </x:c>
      <x:c r="B87" s="44" t="str">
        <x:v>Publication</x:v>
      </x:c>
      <x:c r="C87" s="43" t="n">
        <x:v>46127</x:v>
      </x:c>
      <x:c r="D87" s="44" t="str">
        <x:v>Flows &amp; Liquidity</x:v>
      </x:c>
      <x:c r="E87" s="44" t="str">
        <x:v>Flows &amp; Liquidity: The similarities to 2025</x:v>
      </x:c>
      <x:c r="F87" s="44" t="str">
        <x:v>GPS-5260321-0</x:v>
      </x:c>
      <x:c r="G87" s="44" t="str">
        <x:v>https://markets.jpmorgan.com/research/ArticleServlet?doc=GPS-5260321-0&amp;referrerPortlet=analyst_page</x:v>
      </x:c>
    </x:row>
    <x:row r="88" ht="30" customHeight="1">
      <x:c r="A88" s="44" t="str">
        <x:v>Equity Volatility Strategy Dispersion Chartbook</x:v>
      </x:c>
      <x:c r="B88" s="44" t="str">
        <x:v>Publication</x:v>
      </x:c>
      <x:c r="C88" s="43" t="n">
        <x:v>46126</x:v>
      </x:c>
      <x:c r="D88" s="44" t="str">
        <x:v>Equity Volatility Strategy</x:v>
      </x:c>
      <x:c r="E88" s="44" t="str">
        <x:v>Equity Volatility Strategy: Dispersion Chartbook</x:v>
      </x:c>
      <x:c r="F88" s="44" t="str">
        <x:v>GPS-5265077-0</x:v>
      </x:c>
      <x:c r="G88" s="44" t="str">
        <x:v>https://markets.jpmorgan.com/research/ArticleServlet?doc=GPS-5265077-0&amp;referrerPortlet=analyst_page</x:v>
      </x:c>
    </x:row>
    <x:row r="89" ht="30" customHeight="1">
      <x:c r="A89" s="44" t="str">
        <x:v>US Tactical Derivatives Strategy</x:v>
      </x:c>
      <x:c r="B89" s="44" t="str">
        <x:v>Publication</x:v>
      </x:c>
      <x:c r="C89" s="43" t="n">
        <x:v>46125</x:v>
      </x:c>
      <x:c r="D89" s="44" t="str">
        <x:v>US Tactical Derivatives Strategy</x:v>
      </x:c>
      <x:c r="E89" s="44" t="str">
        <x:v>US Tactical Derivatives Strategy: Trade Banks &amp; TSM Upside into 1Q Earnings</x:v>
      </x:c>
      <x:c r="F89" s="44" t="str">
        <x:v>GPS-5260561-0</x:v>
      </x:c>
      <x:c r="G89" s="44" t="str">
        <x:v>https://markets.jpmorgan.com/research/ArticleServlet?doc=GPS-5260561-0&amp;referrerPortlet=analyst_page</x:v>
      </x:c>
    </x:row>
    <x:row r="90" ht="30" customHeight="1">
      <x:c r="A90" s="44" t="str">
        <x:v>Equity Volatility Strategy Dispersion Chartbook</x:v>
      </x:c>
      <x:c r="B90" s="44" t="str">
        <x:v>Publication</x:v>
      </x:c>
      <x:c r="C90" s="43" t="n">
        <x:v>46105</x:v>
      </x:c>
      <x:c r="D90" s="44" t="str">
        <x:v>Equity Volatility Strategy</x:v>
      </x:c>
      <x:c r="E90" s="44" t="str">
        <x:v>Equity Volatility Strategy: Dispersion Chartbook</x:v>
      </x:c>
      <x:c r="F90" s="44" t="str">
        <x:v>GPS-5242688-0</x:v>
      </x:c>
      <x:c r="G90" s="44" t="str">
        <x:v>https://markets.jpmorgan.com/research/ArticleServlet?doc=GPS-5242688-0&amp;referrerPortlet=analyst_page</x:v>
      </x:c>
    </x:row>
    <x:row r="91" ht="30" customHeight="1">
      <x:c r="A91" s="44" t="str">
        <x:v>Flows &amp; Liquidity</x:v>
      </x:c>
      <x:c r="B91" s="44" t="str">
        <x:v>Publication</x:v>
      </x:c>
      <x:c r="C91" s="43" t="n">
        <x:v>46085</x:v>
      </x:c>
      <x:c r="D91" s="44" t="str">
        <x:v>Flows &amp; Liquidity</x:v>
      </x:c>
      <x:c r="E91" s="44" t="str">
        <x:v>Flows &amp; Liquidity: One-month grace period</x:v>
      </x:c>
      <x:c r="F91" s="44" t="str">
        <x:v>GPS-5222254-0</x:v>
      </x:c>
      <x:c r="G91" s="44" t="str">
        <x:v>https://markets.jpmorgan.com/research/ArticleServlet?doc=GPS-5222254-0&amp;referrerPortlet=analyst_page</x:v>
      </x:c>
    </x:row>
    <x:row r="92" ht="30" customHeight="1">
      <x:c r="A92" s="44" t="str">
        <x:v>US Tactical Derivatives Strategy</x:v>
      </x:c>
      <x:c r="B92" s="44" t="str">
        <x:v>Publication</x:v>
      </x:c>
      <x:c r="C92" s="43" t="n">
        <x:v>46083</x:v>
      </x:c>
      <x:c r="D92" s="44" t="str">
        <x:v>US Tactical Derivatives Strategy</x:v>
      </x:c>
      <x:c r="E92" s="44" t="str">
        <x:v>US Tactical Derivatives Strategy: TGT: Buy Put Spreads on an Expected Sales Miss and Guidance Reset</x:v>
      </x:c>
      <x:c r="F92" s="44" t="str">
        <x:v>GPS-5219631-0</x:v>
      </x:c>
      <x:c r="G92" s="44" t="str">
        <x:v>https://markets.jpmorgan.com/research/ArticleServlet?doc=GPS-5219631-0&amp;referrerPortlet=analyst_page</x:v>
      </x:c>
    </x:row>
    <x:row r="93" ht="30" customHeight="1">
      <x:c r="A93" s="44" t="str">
        <x:v>Global Equity Strategy</x:v>
      </x:c>
      <x:c r="B93" s="44" t="str">
        <x:v>Publication</x:v>
      </x:c>
      <x:c r="C93" s="43" t="n">
        <x:v>46081</x:v>
      </x:c>
      <x:c r="D93" s="44" t="str">
        <x:v>Global Equity Strategy</x:v>
      </x:c>
      <x:c r="E93" s="44" t="str">
        <x:v>Global Equity Strategy: Market Update — Potential Short Term Stress Amidst a Positive Cycle</x:v>
      </x:c>
      <x:c r="F93" s="44" t="str">
        <x:v>GPS-5221032-0</x:v>
      </x:c>
      <x:c r="G93" s="44" t="str">
        <x:v>https://markets.jpmorgan.com/research/ArticleServlet?doc=GPS-5221032-0&amp;referrerPortlet=analyst_page</x:v>
      </x:c>
    </x:row>
    <x:row r="94" ht="30" customHeight="1">
      <x:c r="A94" s="44" t="str">
        <x:v>Global Equity Strategy</x:v>
      </x:c>
      <x:c r="B94" s="44" t="str">
        <x:v>Publication</x:v>
      </x:c>
      <x:c r="C94" s="43" t="n">
        <x:v>46063</x:v>
      </x:c>
      <x:c r="D94" s="44" t="str">
        <x:v>Equity Thematic Strategy</x:v>
      </x:c>
      <x:c r="E94" s="44" t="str">
        <x:v>Equity Thematic Strategy: Software — Historic Crash, Extreme Positioning, Adding Exposure to AI-Resilient Companies</x:v>
      </x:c>
      <x:c r="F94" s="44" t="str">
        <x:v>GPS-5190919-0</x:v>
      </x:c>
      <x:c r="G94" s="44" t="str">
        <x:v>https://markets.jpmorgan.com/research/ArticleServlet?doc=GPS-5190919-0&amp;referrerPortlet=analyst_page</x:v>
      </x:c>
    </x:row>
    <x:row r="95" ht="30" customHeight="1">
      <x:c r="A95" s="44" t="str">
        <x:v>Global Equity Strategy</x:v>
      </x:c>
      <x:c r="B95" s="44" t="str">
        <x:v>Publication</x:v>
      </x:c>
      <x:c r="C95" s="43" t="n">
        <x:v>46062</x:v>
      </x:c>
      <x:c r="D95" s="44" t="str">
        <x:v>Equity Strategy</x:v>
      </x:c>
      <x:c r="E95" s="44" t="str">
        <x:v>Equity Strategy: Style Positioning—Factor Stress, Extreme Rotations, Low Vol &amp; Quality Growth over High Risk &amp; Value</x:v>
      </x:c>
      <x:c r="F95" s="44" t="str">
        <x:v>GPS-5176372-0</x:v>
      </x:c>
      <x:c r="G95" s="44" t="str">
        <x:v>https://markets.jpmorgan.com/research/ArticleServlet?doc=GPS-5176372-0&amp;referrerPortlet=analyst_page</x:v>
      </x:c>
    </x:row>
    <x:row r="96" ht="30" customHeight="1">
      <x:c r="A96" s="44" t="str">
        <x:v>US Tactical Derivatives Strategy</x:v>
      </x:c>
      <x:c r="B96" s="44" t="str">
        <x:v>Publication</x:v>
      </x:c>
      <x:c r="C96" s="43" t="n">
        <x:v>46062</x:v>
      </x:c>
      <x:c r="D96" s="44" t="str">
        <x:v>US Tactical Derivatives Strategy</x:v>
      </x:c>
      <x:c r="E96" s="44" t="str">
        <x:v>US Tactical Derivatives Strategy: TMUS: Buy Calls into Capital Markets Day on Easing Competition Concerns</x:v>
      </x:c>
      <x:c r="F96" s="44" t="str">
        <x:v>GPS-5200062-0</x:v>
      </x:c>
      <x:c r="G96" s="44" t="str">
        <x:v>https://markets.jpmorgan.com/research/ArticleServlet?doc=GPS-5200062-0&amp;referrerPortlet=analyst_page</x:v>
      </x:c>
    </x:row>
    <x:row r="97" ht="30" customHeight="1">
      <x:c r="A97" s="44" t="str">
        <x:v>US Tactical Derivatives Strategy</x:v>
      </x:c>
      <x:c r="B97" s="44" t="str">
        <x:v>Publication</x:v>
      </x:c>
      <x:c r="C97" s="43" t="n">
        <x:v>46048</x:v>
      </x:c>
      <x:c r="D97" s="44" t="str">
        <x:v>US Tactical Derivatives Strategy</x:v>
      </x:c>
      <x:c r="E97" s="44" t="str">
        <x:v>US Tactical Derivatives Strategy: V: Buy Call Spreads on Policy Overreaction and an Expected Earnings Beat</x:v>
      </x:c>
      <x:c r="F97" s="44" t="str">
        <x:v>GPS-5183983-0</x:v>
      </x:c>
      <x:c r="G97" s="44" t="str">
        <x:v>https://markets.jpmorgan.com/research/ArticleServlet?doc=GPS-5183983-0&amp;referrerPortlet=analyst_page</x:v>
      </x:c>
    </x:row>
    <x:row r="98" ht="30" customHeight="1">
      <x:c r="A98" s="44" t="str">
        <x:v>US Tactical Derivatives Strategy</x:v>
      </x:c>
      <x:c r="B98" s="44" t="str">
        <x:v>Publication</x:v>
      </x:c>
      <x:c r="C98" s="43" t="n">
        <x:v>46038</x:v>
      </x:c>
      <x:c r="D98" s="44" t="str">
        <x:v>US Tactical Derivatives Strategy</x:v>
      </x:c>
      <x:c r="E98" s="44" t="str">
        <x:v>US Tactical Derivatives Strategy: Policy Hedges: Buy VIX Call Spreads and Worst-Of Calls on Defense, Energy, and Gold</x:v>
      </x:c>
      <x:c r="F98" s="44" t="str">
        <x:v>GPS-5178780-0</x:v>
      </x:c>
      <x:c r="G98" s="44" t="str">
        <x:v>https://markets.jpmorgan.com/research/ArticleServlet?doc=GPS-5178780-0&amp;referrerPortlet=analyst_page</x:v>
      </x:c>
    </x:row>
    <x:row r="99" ht="30" customHeight="1">
      <x:c r="A99" s="44" t="str">
        <x:v>Flows &amp; Liquidity</x:v>
      </x:c>
      <x:c r="B99" s="44" t="str">
        <x:v>Publication</x:v>
      </x:c>
      <x:c r="C99" s="43" t="n">
        <x:v>46036</x:v>
      </x:c>
      <x:c r="D99" s="44" t="str">
        <x:v>Flows &amp; Liquidity</x:v>
      </x:c>
      <x:c r="E99" s="44" t="str">
        <x:v>Flows &amp; Liquidity: The rerating of banks</x:v>
      </x:c>
      <x:c r="F99" s="44" t="str">
        <x:v>GPS-5176360-0</x:v>
      </x:c>
      <x:c r="G99" s="44" t="str">
        <x:v>https://markets.jpmorgan.com/research/ArticleServlet?doc=GPS-5176360-0&amp;referrerPortlet=analyst_page</x:v>
      </x:c>
    </x:row>
    <x:row r="100" ht="30" customHeight="1">
      <x:c r="A100" s="44" t="str">
        <x:v>Global Equity Strategy</x:v>
      </x:c>
      <x:c r="B100" s="44" t="str">
        <x:v>Publication</x:v>
      </x:c>
      <x:c r="C100" s="43" t="n">
        <x:v>45961</x:v>
      </x:c>
      <x:c r="D100" s="44" t="str">
        <x:v>US Equity Strategy</x:v>
      </x:c>
      <x:c r="E100" s="44" t="str">
        <x:v>US Equity Strategy: 3Q25 Earnings Scorecard: Solid Results and Guidance with Further Upside to AI Capex</x:v>
      </x:c>
      <x:c r="F100" s="44" t="str">
        <x:v>GPS-5118582-0</x:v>
      </x:c>
      <x:c r="G100" s="44" t="str">
        <x:v>https://markets.jpmorgan.com/research/ArticleServlet?doc=GPS-5118582-0&amp;referrerPortlet=analyst_page</x:v>
      </x:c>
    </x:row>
    <x:row r="101" ht="30" customHeight="1">
      <x:c r="A101" s="44" t="str">
        <x:v>Global Equity Strategy</x:v>
      </x:c>
      <x:c r="B101" s="44" t="str">
        <x:v>Publication</x:v>
      </x:c>
      <x:c r="C101" s="43" t="n">
        <x:v>45954</x:v>
      </x:c>
      <x:c r="D101" s="44" t="str">
        <x:v>US Equity Strategy</x:v>
      </x:c>
      <x:c r="E101" s="44" t="str">
        <x:v>US Equity Strategy: 3Q25 Earnings Scorecard: ~50% of Mkt Cap Reporting Next Week, Including Most AI/Hyperscalers</x:v>
      </x:c>
      <x:c r="F101" s="44" t="str">
        <x:v>GPS-5111388-0</x:v>
      </x:c>
      <x:c r="G101" s="44" t="str">
        <x:v>https://markets.jpmorgan.com/research/ArticleServlet?doc=GPS-5111388-0&amp;referrerPortlet=analyst_page</x:v>
      </x:c>
    </x:row>
    <x:row r="102" ht="30" customHeight="1">
      <x:c r="A102" s="44" t="str">
        <x:v>China Equity Strategy</x:v>
      </x:c>
      <x:c r="B102" s="44" t="str">
        <x:v>Publication</x:v>
      </x:c>
      <x:c r="C102" s="43" t="n">
        <x:v>45903</x:v>
      </x:c>
      <x:c r="D102" s="44" t="str">
        <x:v>Hong Kong Equity Strategy</x:v>
      </x:c>
      <x:c r="E102" s="44" t="str">
        <x:v>Hong Kong Equity Strategy: 93% of MXHK reported 1H25 results: 11% EPS growth y-y with 29bps NPM expansion</x:v>
      </x:c>
      <x:c r="F102" s="44" t="str">
        <x:v>GPS-5073398-0</x:v>
      </x:c>
      <x:c r="G102" s="44" t="str">
        <x:v>https://markets.jpmorgan.com/research/ArticleServlet?doc=GPS-5073398-0&amp;referrerPortlet=analyst_page</x:v>
      </x:c>
    </x:row>
    <x:row r="103" ht="30" customHeight="1">
      <x:c r="A103" s="44" t="str">
        <x:v>Flows &amp; Liquidity</x:v>
      </x:c>
      <x:c r="B103" s="44" t="str">
        <x:v>Publication</x:v>
      </x:c>
      <x:c r="C103" s="43" t="n">
        <x:v>45847</x:v>
      </x:c>
      <x:c r="D103" s="44" t="str">
        <x:v>Flows &amp; Liquidity</x:v>
      </x:c>
      <x:c r="E103" s="44" t="str">
        <x:v>Flows &amp; Liquidity: Which flows could support equities into H2?</x:v>
      </x:c>
      <x:c r="F103" s="44" t="str">
        <x:v>GPS-5022913-0</x:v>
      </x:c>
      <x:c r="G103" s="44" t="str">
        <x:v>https://markets.jpmorgan.com/research/ArticleServlet?doc=GPS-5022913-0&amp;referrerPortlet=analyst_page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f9a820b32e8e410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1" ht="34" customHeight="1">
      <x:c r="A1" s="45" t="str">
        <x:v>推算口径与限制</x:v>
      </x:c>
      <x:c r="B1" s="45"/>
    </x:row>
    <x:row r="3" ht="34" customHeight="1">
      <x:c r="A3" s="49" t="str">
        <x:v>项目</x:v>
      </x:c>
      <x:c r="B3" s="49" t="str">
        <x:v>内容</x:v>
      </x:c>
    </x:row>
    <x:row r="4" ht="34" customHeight="1">
      <x:c r="A4" s="50" t="str">
        <x:v>基准日期</x:v>
      </x:c>
      <x:c r="B4" s="36" t="n">
        <x:v>46223</x:v>
      </x:c>
    </x:row>
    <x:row r="5" ht="34" customHeight="1">
      <x:c r="A5" s="50" t="str">
        <x:v>页面来源</x:v>
      </x:c>
      <x:c r="B5" s="35" t="str">
        <x:v>https://markets.jpmorgan.com/jpmm/research.my_subscriptions</x:v>
      </x:c>
    </x:row>
    <x:row r="6" ht="34" customHeight="1">
      <x:c r="A6" s="50" t="str">
        <x:v>历史来源</x:v>
      </x:c>
      <x:c r="B6" s="35" t="str">
        <x:v>本地运行 jpm_20260720T060147Z.json；每个 subscription 最近最多 10 篇可见样本</x:v>
      </x:c>
    </x:row>
    <x:row r="7" ht="34" customHeight="1">
      <x:c r="A7" s="50" t="str">
        <x:v>页面频率</x:v>
      </x:c>
      <x:c r="B7" s="35" t="str">
        <x:v>逐项点击 10 个 Publications 与 1 个 Analyst，读取 Items/Month；观察时间 2026-07-20T08:03:59.070044+00:00</x:v>
      </x:c>
    </x:row>
    <x:row r="8" ht="34" customHeight="1">
      <x:c r="A8" s="50" t="str">
        <x:v>当前更新日期</x:v>
      </x:c>
      <x:c r="B8" s="35" t="str">
        <x:v>每个栏目可见历史中的最新发布日期</x:v>
      </x:c>
    </x:row>
    <x:row r="9" ht="34" customHeight="1">
      <x:c r="A9" s="50" t="str">
        <x:v>稳定周报</x:v>
      </x:c>
      <x:c r="B9" s="35" t="str">
        <x:v>最近样本中 7±1 天间隔占比达到 55% 时，按 7 天周期推算</x:v>
      </x:c>
    </x:row>
    <x:row r="10" ht="34" customHeight="1">
      <x:c r="A10" s="50" t="str">
        <x:v>高频 Analyst</x:v>
      </x:c>
      <x:c r="B10" s="35" t="str">
        <x:v>Items/Month ≥ 20 时，下一次日期按基准日后的下一个工作日推算</x:v>
      </x:c>
    </x:row>
    <x:row r="11" ht="34" customHeight="1">
      <x:c r="A11" s="50" t="str">
        <x:v>其他栏目</x:v>
      </x:c>
      <x:c r="B11" s="35" t="str">
        <x:v>按 30.44 / Items/Month 换算周期，从最新日期滚动到基准日之后；周末顺延至工作日</x:v>
      </x:c>
    </x:row>
    <x:row r="12" ht="34" customHeight="1">
      <x:c r="A12" s="50" t="str">
        <x:v>置信度：高</x:v>
      </x:c>
      <x:c r="B12" s="35" t="str">
        <x:v>周度规律稳定且历史样本支持</x:v>
      </x:c>
    </x:row>
    <x:row r="13" ht="34" customHeight="1">
      <x:c r="A13" s="50" t="str">
        <x:v>置信度：中</x:v>
      </x:c>
      <x:c r="B13" s="35" t="str">
        <x:v>页面频率与近期样本大致一致，或属于高频栏目</x:v>
      </x:c>
    </x:row>
    <x:row r="14" ht="34" customHeight="1">
      <x:c r="A14" s="50" t="str">
        <x:v>置信度：低</x:v>
      </x:c>
      <x:c r="B14" s="35" t="str">
        <x:v>历史间隔波动较大，下一日期仅作为检查提醒</x:v>
      </x:c>
    </x:row>
    <x:row r="15" ht="34" customHeight="1">
      <x:c r="A15" s="51" t="str">
        <x:v>重要限制</x:v>
      </x:c>
      <x:c r="B15" s="52" t="str">
        <x:v>预计日期是统计推断，不是 JPM 官方日程；临时专题、假期和市场事件会改变发布时间</x:v>
      </x:c>
    </x:row>
  </x:sheetData>
  <x:mergeCells>
    <x:mergeCell ref="A1:B1"/>
  </x:mergeCells>
  <x:pageMargins left="0.7" right="0.7" top="0.75" bottom="0.75" header="0.3" footer="0.3"/>
</x:worksheet>
</file>